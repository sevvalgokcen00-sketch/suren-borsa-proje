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çıklama" sheetId="1" state="visible" r:id="rId3"/>
    <sheet name="Ham_Veri" sheetId="2" state="visible" r:id="rId4"/>
    <sheet name="Firma_Ozeti" sheetId="3" state="visible" r:id="rId5"/>
    <sheet name="Ortalama_Hacimli_Firmala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<sst xmlns="http://schemas.openxmlformats.org/spreadsheetml/2006/main" count="3712" uniqueCount="838">
  <si>
    <t xml:space="preserve">DöngüBorsa – Demir-Çelik Firma Analizi (v3 — Fiyatlandırma ve Etki Düzeltmesi)</t>
  </si>
  <si>
    <t xml:space="preserve">Sadece kullanılmamış / üretim fazlası malzeme — fiyatlandırma birincil malzeme referanslıdır</t>
  </si>
  <si>
    <t xml:space="preserve">DEĞİŞİKLİK 1 — FİYATLANDIRMA MANTIĞI:</t>
  </si>
  <si>
    <t xml:space="preserve">Önceki sürümde fiyatlar hurda/geri dönüşüm sitelerinden (hurdafiyatlari.tr vb.)</t>
  </si>
  <si>
    <t xml:space="preserve">alınıyordu — bu, 'eritilip yeniden işlenecek metal' değerini yansıtıyordu.</t>
  </si>
  <si>
    <t xml:space="preserve">Artık ürünlerimiz kullanılmamış üretim fazlası olduğu için, fiyatlandırma BİRİNCİL</t>
  </si>
  <si>
    <t xml:space="preserve">(prime) malzeme fiyatına dayanıyor:</t>
  </si>
  <si>
    <t xml:space="preserve">  - DKP sac prime fiyatı: 37,50-40,00 TL/kg (sacfiyatlari.com.tr, ESN Metal)</t>
  </si>
  <si>
    <t xml:space="preserve">  - Siyah/HRP sac prime fiyatı: 31,00-33,00 TL/kg (borufiyatlari.com.tr)</t>
  </si>
  <si>
    <t xml:space="preserve">  - Kutu profil prime fiyatı: 27,00-30,00 TL/kg (LME Demir, celikfiyatlari.com)</t>
  </si>
  <si>
    <t xml:space="preserve">  - Talaş/kırpıntı: 9,00-11,00 TL/kg (küçük parça formu nedeniyle düşük değerli;</t>
  </si>
  <si>
    <t xml:space="preserve">    bu 'kullanılmış' olmasından değil, fiziksel formundan kaynaklanıyor)</t>
  </si>
  <si>
    <t xml:space="preserve">Malzeme durumuna göre PRIME fiyata uygulanan iskonto:</t>
  </si>
  <si>
    <t xml:space="preserve">  - Orijinal Ambalajında Fazla Stok: prime fiyatın %95'i</t>
  </si>
  <si>
    <t xml:space="preserve">  - Üretim Fazlası: prime fiyatın %88'i</t>
  </si>
  <si>
    <t xml:space="preserve">  - Kesim/İşleme Artığı: prime fiyatın %75'i</t>
  </si>
  <si>
    <t xml:space="preserve">  - Standart Dışı Üretim: prime fiyatın %65'i (en büyük iskonto, yine de hurda değil)</t>
  </si>
  <si>
    <t xml:space="preserve">DEĞİŞİKLİK 2 — ÇEVRESEL ETKİ ANLATISI:</t>
  </si>
  <si>
    <t xml:space="preserve">Önceki sürümde formül 'geri dönüştürülmüş çelik = X ton hammadde/CO2 tasarrufu'</t>
  </si>
  <si>
    <t xml:space="preserve">diliyle yazılmıştı; bu, malzemenin ERİTİLİP yeniden çelik üretiminde kullanılmasını</t>
  </si>
  <si>
    <t xml:space="preserve">varsayıyordu. Ama üretim fazlası malzeme eritilmeden, olduğu gibi kullanılıyor.</t>
  </si>
  <si>
    <t xml:space="preserve">Yeni anlatı: Bu malzeme platform sayesinde satılmasaydı, muhtemelen hurdaya</t>
  </si>
  <si>
    <t xml:space="preserve">ayrılıp SONRADAN eritilerek geri kazanılması gerekecekti. Doğrudan yeniden</t>
  </si>
  <si>
    <t xml:space="preserve">kullanıldığı için hem hurdaya gitme hem de eritme (yeniden üretim) süreci en</t>
  </si>
  <si>
    <t xml:space="preserve">baştan önlenmiş oluyor — bu, saf geri dönüşümden daha güçlü bir tasarruf.</t>
  </si>
  <si>
    <t xml:space="preserve">Katsayılar aynı kalır (1,4 ton cevher / 1,6 ton CO2 - ton başına) ama artık</t>
  </si>
  <si>
    <t xml:space="preserve">'birincil çelik üretiminin önlenmesi' olarak yorumlanır, 'hurda eritme' değil.</t>
  </si>
  <si>
    <t xml:space="preserve">SEKME REHBERİ:</t>
  </si>
  <si>
    <t xml:space="preserve">1) Ham_Veri            -&gt; Her satır bir işlem; prime_referans_fiyat sütunu eklendi</t>
  </si>
  <si>
    <t xml:space="preserve">2) Firma_Ozeti         -&gt; Firma bazlı toplam hacim, işlem sayısı, ortalama fiyat</t>
  </si>
  <si>
    <t xml:space="preserve">3) Ortalama_Hacimli_Firmalar -&gt; IQR (Q1-Q3) aralığındaki firmalar + çevresel etki</t>
  </si>
  <si>
    <t xml:space="preserve">İşlem ID</t>
  </si>
  <si>
    <t xml:space="preserve">Firma ID</t>
  </si>
  <si>
    <t xml:space="preserve">Firma Adı</t>
  </si>
  <si>
    <t xml:space="preserve">Şehir</t>
  </si>
  <si>
    <t xml:space="preserve">Malzeme Türü</t>
  </si>
  <si>
    <t xml:space="preserve">Alt Tür</t>
  </si>
  <si>
    <t xml:space="preserve">Malzeme Durumu</t>
  </si>
  <si>
    <t xml:space="preserve">Paketleme Biçimi</t>
  </si>
  <si>
    <t xml:space="preserve">Prime Referans Fiyat (TL/kg)</t>
  </si>
  <si>
    <t xml:space="preserve">Miktar (kg)</t>
  </si>
  <si>
    <t xml:space="preserve">Birim Fiyat (TL/kg)</t>
  </si>
  <si>
    <t xml:space="preserve">Toplam Tutar (TL)</t>
  </si>
  <si>
    <t xml:space="preserve">İşlem Tarihi</t>
  </si>
  <si>
    <t xml:space="preserve">T-00001</t>
  </si>
  <si>
    <t xml:space="preserve">F-1001</t>
  </si>
  <si>
    <t xml:space="preserve">Firma 1001 San. Tic. Ltd. Şti.</t>
  </si>
  <si>
    <t xml:space="preserve">Gaziantep</t>
  </si>
  <si>
    <t xml:space="preserve">Demir-Çelik</t>
  </si>
  <si>
    <t xml:space="preserve">Kalıp Fazlası Parça</t>
  </si>
  <si>
    <t xml:space="preserve">Üretim Fazlası</t>
  </si>
  <si>
    <t xml:space="preserve">Gevşek</t>
  </si>
  <si>
    <t xml:space="preserve">2026-02-25</t>
  </si>
  <si>
    <t xml:space="preserve">T-00002</t>
  </si>
  <si>
    <t xml:space="preserve">Talaş / Kırpıntı</t>
  </si>
  <si>
    <t xml:space="preserve">Preslenmiş-Balya</t>
  </si>
  <si>
    <t xml:space="preserve">2025-08-28</t>
  </si>
  <si>
    <t xml:space="preserve">T-00003</t>
  </si>
  <si>
    <t xml:space="preserve">F-1002</t>
  </si>
  <si>
    <t xml:space="preserve">Firma 1002 San. Tic. Ltd. Şti.</t>
  </si>
  <si>
    <t xml:space="preserve">İstanbul</t>
  </si>
  <si>
    <t xml:space="preserve">DKP (Soğuk Haddelenmiş Sac Artığı)</t>
  </si>
  <si>
    <t xml:space="preserve">Kesim/İşleme Artığı</t>
  </si>
  <si>
    <t xml:space="preserve">2026-05-02</t>
  </si>
  <si>
    <t xml:space="preserve">T-00004</t>
  </si>
  <si>
    <t xml:space="preserve">Standart Dışı Sac / Levha</t>
  </si>
  <si>
    <t xml:space="preserve">Temiz</t>
  </si>
  <si>
    <t xml:space="preserve">2025-09-08</t>
  </si>
  <si>
    <t xml:space="preserve">T-00005</t>
  </si>
  <si>
    <t xml:space="preserve">F-1003</t>
  </si>
  <si>
    <t xml:space="preserve">Firma 1003 San. Tic. Ltd. Şti.</t>
  </si>
  <si>
    <t xml:space="preserve">2025-08-08</t>
  </si>
  <si>
    <t xml:space="preserve">T-00006</t>
  </si>
  <si>
    <t xml:space="preserve">2026-02-22</t>
  </si>
  <si>
    <t xml:space="preserve">T-00007</t>
  </si>
  <si>
    <t xml:space="preserve">F-1004</t>
  </si>
  <si>
    <t xml:space="preserve">Firma 1004 San. Tic. Ltd. Şti.</t>
  </si>
  <si>
    <t xml:space="preserve">Parçalanmış</t>
  </si>
  <si>
    <t xml:space="preserve">2025-12-25</t>
  </si>
  <si>
    <t xml:space="preserve">T-00008</t>
  </si>
  <si>
    <t xml:space="preserve">F-1005</t>
  </si>
  <si>
    <t xml:space="preserve">Firma 1005 San. Tic. Ltd. Şti.</t>
  </si>
  <si>
    <t xml:space="preserve">Kocaeli</t>
  </si>
  <si>
    <t xml:space="preserve">2025-11-06</t>
  </si>
  <si>
    <t xml:space="preserve">T-00009</t>
  </si>
  <si>
    <t xml:space="preserve">F-1006</t>
  </si>
  <si>
    <t xml:space="preserve">Firma 1006 San. Tic. Ltd. Şti.</t>
  </si>
  <si>
    <t xml:space="preserve">Adana</t>
  </si>
  <si>
    <t xml:space="preserve">İmalat Artığı Profil</t>
  </si>
  <si>
    <t xml:space="preserve">2025-08-26</t>
  </si>
  <si>
    <t xml:space="preserve">T-00010</t>
  </si>
  <si>
    <t xml:space="preserve">2025-08-30</t>
  </si>
  <si>
    <t xml:space="preserve">T-00011</t>
  </si>
  <si>
    <t xml:space="preserve">F-1007</t>
  </si>
  <si>
    <t xml:space="preserve">Firma 1007 San. Tic. Ltd. Şti.</t>
  </si>
  <si>
    <t xml:space="preserve">2026-02-23</t>
  </si>
  <si>
    <t xml:space="preserve">T-00012</t>
  </si>
  <si>
    <t xml:space="preserve">2026-07-03</t>
  </si>
  <si>
    <t xml:space="preserve">T-00013</t>
  </si>
  <si>
    <t xml:space="preserve">2026-07-09</t>
  </si>
  <si>
    <t xml:space="preserve">T-00014</t>
  </si>
  <si>
    <t xml:space="preserve">2025-09-07</t>
  </si>
  <si>
    <t xml:space="preserve">T-00015</t>
  </si>
  <si>
    <t xml:space="preserve">F-1008</t>
  </si>
  <si>
    <t xml:space="preserve">Firma 1008 San. Tic. Ltd. Şti.</t>
  </si>
  <si>
    <t xml:space="preserve">Bursa</t>
  </si>
  <si>
    <t xml:space="preserve">Standart Dışı Üretim</t>
  </si>
  <si>
    <t xml:space="preserve">2025-12-14</t>
  </si>
  <si>
    <t xml:space="preserve">T-00016</t>
  </si>
  <si>
    <t xml:space="preserve">2026-02-06</t>
  </si>
  <si>
    <t xml:space="preserve">T-00017</t>
  </si>
  <si>
    <t xml:space="preserve">2026-07-01</t>
  </si>
  <si>
    <t xml:space="preserve">T-00018</t>
  </si>
  <si>
    <t xml:space="preserve">2026-07-06</t>
  </si>
  <si>
    <t xml:space="preserve">T-00019</t>
  </si>
  <si>
    <t xml:space="preserve">2025-12-18</t>
  </si>
  <si>
    <t xml:space="preserve">T-00020</t>
  </si>
  <si>
    <t xml:space="preserve">2026-06-21</t>
  </si>
  <si>
    <t xml:space="preserve">T-00021</t>
  </si>
  <si>
    <t xml:space="preserve">2025-12-20</t>
  </si>
  <si>
    <t xml:space="preserve">T-00022</t>
  </si>
  <si>
    <t xml:space="preserve">2025-12-13</t>
  </si>
  <si>
    <t xml:space="preserve">T-00023</t>
  </si>
  <si>
    <t xml:space="preserve">F-1009</t>
  </si>
  <si>
    <t xml:space="preserve">Firma 1009 San. Tic. Ltd. Şti.</t>
  </si>
  <si>
    <t xml:space="preserve">2026-07-20</t>
  </si>
  <si>
    <t xml:space="preserve">T-00024</t>
  </si>
  <si>
    <t xml:space="preserve">2026-01-05</t>
  </si>
  <si>
    <t xml:space="preserve">T-00025</t>
  </si>
  <si>
    <t xml:space="preserve">2026-01-31</t>
  </si>
  <si>
    <t xml:space="preserve">T-00026</t>
  </si>
  <si>
    <t xml:space="preserve">2026-06-14</t>
  </si>
  <si>
    <t xml:space="preserve">T-00027</t>
  </si>
  <si>
    <t xml:space="preserve">F-1010</t>
  </si>
  <si>
    <t xml:space="preserve">Firma 1010 San. Tic. Ltd. Şti.</t>
  </si>
  <si>
    <t xml:space="preserve">2026-02-28</t>
  </si>
  <si>
    <t xml:space="preserve">T-00028</t>
  </si>
  <si>
    <t xml:space="preserve">F-1011</t>
  </si>
  <si>
    <t xml:space="preserve">Firma 1011 San. Tic. Ltd. Şti.</t>
  </si>
  <si>
    <t xml:space="preserve">Konya</t>
  </si>
  <si>
    <t xml:space="preserve">2025-12-06</t>
  </si>
  <si>
    <t xml:space="preserve">T-00029</t>
  </si>
  <si>
    <t xml:space="preserve">F-1012</t>
  </si>
  <si>
    <t xml:space="preserve">Firma 1012 San. Tic. Ltd. Şti.</t>
  </si>
  <si>
    <t xml:space="preserve">Manisa</t>
  </si>
  <si>
    <t xml:space="preserve">2025-11-11</t>
  </si>
  <si>
    <t xml:space="preserve">T-00030</t>
  </si>
  <si>
    <t xml:space="preserve">Orijinal Ambalajında Fazla Stok</t>
  </si>
  <si>
    <t xml:space="preserve">2025-11-23</t>
  </si>
  <si>
    <t xml:space="preserve">T-00031</t>
  </si>
  <si>
    <t xml:space="preserve">2026-01-27</t>
  </si>
  <si>
    <t xml:space="preserve">T-00032</t>
  </si>
  <si>
    <t xml:space="preserve">2025-08-15</t>
  </si>
  <si>
    <t xml:space="preserve">T-00033</t>
  </si>
  <si>
    <t xml:space="preserve">2026-06-02</t>
  </si>
  <si>
    <t xml:space="preserve">T-00034</t>
  </si>
  <si>
    <t xml:space="preserve">2026-04-19</t>
  </si>
  <si>
    <t xml:space="preserve">T-00035</t>
  </si>
  <si>
    <t xml:space="preserve">2026-05-03</t>
  </si>
  <si>
    <t xml:space="preserve">T-00036</t>
  </si>
  <si>
    <t xml:space="preserve">2026-01-17</t>
  </si>
  <si>
    <t xml:space="preserve">T-00037</t>
  </si>
  <si>
    <t xml:space="preserve">2026-02-26</t>
  </si>
  <si>
    <t xml:space="preserve">T-00038</t>
  </si>
  <si>
    <t xml:space="preserve">F-1013</t>
  </si>
  <si>
    <t xml:space="preserve">Firma 1013 San. Tic. Ltd. Şti.</t>
  </si>
  <si>
    <t xml:space="preserve">Sakarya</t>
  </si>
  <si>
    <t xml:space="preserve">2026-07-13</t>
  </si>
  <si>
    <t xml:space="preserve">T-00039</t>
  </si>
  <si>
    <t xml:space="preserve">2025-08-01</t>
  </si>
  <si>
    <t xml:space="preserve">T-00040</t>
  </si>
  <si>
    <t xml:space="preserve">2026-03-15</t>
  </si>
  <si>
    <t xml:space="preserve">T-00041</t>
  </si>
  <si>
    <t xml:space="preserve">2025-10-26</t>
  </si>
  <si>
    <t xml:space="preserve">T-00042</t>
  </si>
  <si>
    <t xml:space="preserve">2025-11-29</t>
  </si>
  <si>
    <t xml:space="preserve">T-00043</t>
  </si>
  <si>
    <t xml:space="preserve">2025-12-04</t>
  </si>
  <si>
    <t xml:space="preserve">T-00044</t>
  </si>
  <si>
    <t xml:space="preserve">2026-07-23</t>
  </si>
  <si>
    <t xml:space="preserve">T-00045</t>
  </si>
  <si>
    <t xml:space="preserve">2025-08-03</t>
  </si>
  <si>
    <t xml:space="preserve">T-00046</t>
  </si>
  <si>
    <t xml:space="preserve">2026-05-13</t>
  </si>
  <si>
    <t xml:space="preserve">T-00047</t>
  </si>
  <si>
    <t xml:space="preserve">2026-03-26</t>
  </si>
  <si>
    <t xml:space="preserve">T-00048</t>
  </si>
  <si>
    <t xml:space="preserve">F-1014</t>
  </si>
  <si>
    <t xml:space="preserve">Firma 1014 San. Tic. Ltd. Şti.</t>
  </si>
  <si>
    <t xml:space="preserve">Eskişehir</t>
  </si>
  <si>
    <t xml:space="preserve">2026-04-16</t>
  </si>
  <si>
    <t xml:space="preserve">T-00049</t>
  </si>
  <si>
    <t xml:space="preserve">F-1015</t>
  </si>
  <si>
    <t xml:space="preserve">Firma 1015 San. Tic. Ltd. Şti.</t>
  </si>
  <si>
    <t xml:space="preserve">İzmir</t>
  </si>
  <si>
    <t xml:space="preserve">2025-12-11</t>
  </si>
  <si>
    <t xml:space="preserve">T-00050</t>
  </si>
  <si>
    <t xml:space="preserve">2026-03-14</t>
  </si>
  <si>
    <t xml:space="preserve">T-00051</t>
  </si>
  <si>
    <t xml:space="preserve">2026-05-04</t>
  </si>
  <si>
    <t xml:space="preserve">T-00052</t>
  </si>
  <si>
    <t xml:space="preserve">T-00053</t>
  </si>
  <si>
    <t xml:space="preserve">2026-03-04</t>
  </si>
  <si>
    <t xml:space="preserve">T-00054</t>
  </si>
  <si>
    <t xml:space="preserve">2026-02-11</t>
  </si>
  <si>
    <t xml:space="preserve">T-00055</t>
  </si>
  <si>
    <t xml:space="preserve">2026-03-03</t>
  </si>
  <si>
    <t xml:space="preserve">T-00056</t>
  </si>
  <si>
    <t xml:space="preserve">2026-03-12</t>
  </si>
  <si>
    <t xml:space="preserve">T-00057</t>
  </si>
  <si>
    <t xml:space="preserve">F-1016</t>
  </si>
  <si>
    <t xml:space="preserve">Firma 1016 San. Tic. Ltd. Şti.</t>
  </si>
  <si>
    <t xml:space="preserve">2026-03-28</t>
  </si>
  <si>
    <t xml:space="preserve">T-00058</t>
  </si>
  <si>
    <t xml:space="preserve">F-1017</t>
  </si>
  <si>
    <t xml:space="preserve">Firma 1017 San. Tic. Ltd. Şti.</t>
  </si>
  <si>
    <t xml:space="preserve">2025-09-12</t>
  </si>
  <si>
    <t xml:space="preserve">T-00059</t>
  </si>
  <si>
    <t xml:space="preserve">T-00060</t>
  </si>
  <si>
    <t xml:space="preserve">T-00061</t>
  </si>
  <si>
    <t xml:space="preserve">2025-08-27</t>
  </si>
  <si>
    <t xml:space="preserve">T-00062</t>
  </si>
  <si>
    <t xml:space="preserve">2025-12-05</t>
  </si>
  <si>
    <t xml:space="preserve">T-00063</t>
  </si>
  <si>
    <t xml:space="preserve">2026-03-31</t>
  </si>
  <si>
    <t xml:space="preserve">T-00064</t>
  </si>
  <si>
    <t xml:space="preserve">2026-06-07</t>
  </si>
  <si>
    <t xml:space="preserve">T-00065</t>
  </si>
  <si>
    <t xml:space="preserve">2026-05-24</t>
  </si>
  <si>
    <t xml:space="preserve">T-00066</t>
  </si>
  <si>
    <t xml:space="preserve">2025-11-10</t>
  </si>
  <si>
    <t xml:space="preserve">T-00067</t>
  </si>
  <si>
    <t xml:space="preserve">T-00068</t>
  </si>
  <si>
    <t xml:space="preserve">2026-01-25</t>
  </si>
  <si>
    <t xml:space="preserve">T-00069</t>
  </si>
  <si>
    <t xml:space="preserve">2026-01-22</t>
  </si>
  <si>
    <t xml:space="preserve">T-00070</t>
  </si>
  <si>
    <t xml:space="preserve">2026-03-24</t>
  </si>
  <si>
    <t xml:space="preserve">T-00071</t>
  </si>
  <si>
    <t xml:space="preserve">2025-12-17</t>
  </si>
  <si>
    <t xml:space="preserve">T-00072</t>
  </si>
  <si>
    <t xml:space="preserve">2025-12-16</t>
  </si>
  <si>
    <t xml:space="preserve">T-00073</t>
  </si>
  <si>
    <t xml:space="preserve">2026-03-19</t>
  </si>
  <si>
    <t xml:space="preserve">T-00074</t>
  </si>
  <si>
    <t xml:space="preserve">2026-01-14</t>
  </si>
  <si>
    <t xml:space="preserve">T-00075</t>
  </si>
  <si>
    <t xml:space="preserve">2025-12-22</t>
  </si>
  <si>
    <t xml:space="preserve">T-00076</t>
  </si>
  <si>
    <t xml:space="preserve">T-00077</t>
  </si>
  <si>
    <t xml:space="preserve">2026-07-31</t>
  </si>
  <si>
    <t xml:space="preserve">T-00078</t>
  </si>
  <si>
    <t xml:space="preserve">T-00079</t>
  </si>
  <si>
    <t xml:space="preserve">2026-05-09</t>
  </si>
  <si>
    <t xml:space="preserve">T-00080</t>
  </si>
  <si>
    <t xml:space="preserve">F-1018</t>
  </si>
  <si>
    <t xml:space="preserve">Firma 1018 San. Tic. Ltd. Şti.</t>
  </si>
  <si>
    <t xml:space="preserve">2026-01-09</t>
  </si>
  <si>
    <t xml:space="preserve">T-00081</t>
  </si>
  <si>
    <t xml:space="preserve">T-00082</t>
  </si>
  <si>
    <t xml:space="preserve">2025-09-21</t>
  </si>
  <si>
    <t xml:space="preserve">T-00083</t>
  </si>
  <si>
    <t xml:space="preserve">2025-08-24</t>
  </si>
  <si>
    <t xml:space="preserve">T-00084</t>
  </si>
  <si>
    <t xml:space="preserve">2026-04-09</t>
  </si>
  <si>
    <t xml:space="preserve">T-00085</t>
  </si>
  <si>
    <t xml:space="preserve">T-00086</t>
  </si>
  <si>
    <t xml:space="preserve">T-00087</t>
  </si>
  <si>
    <t xml:space="preserve">2026-01-03</t>
  </si>
  <si>
    <t xml:space="preserve">T-00088</t>
  </si>
  <si>
    <t xml:space="preserve">T-00089</t>
  </si>
  <si>
    <t xml:space="preserve">2026-05-29</t>
  </si>
  <si>
    <t xml:space="preserve">T-00090</t>
  </si>
  <si>
    <t xml:space="preserve">2025-09-20</t>
  </si>
  <si>
    <t xml:space="preserve">T-00091</t>
  </si>
  <si>
    <t xml:space="preserve">F-1019</t>
  </si>
  <si>
    <t xml:space="preserve">Firma 1019 San. Tic. Ltd. Şti.</t>
  </si>
  <si>
    <t xml:space="preserve">2026-05-10</t>
  </si>
  <si>
    <t xml:space="preserve">T-00092</t>
  </si>
  <si>
    <t xml:space="preserve">2025-12-26</t>
  </si>
  <si>
    <t xml:space="preserve">T-00093</t>
  </si>
  <si>
    <t xml:space="preserve">T-00094</t>
  </si>
  <si>
    <t xml:space="preserve">2025-12-15</t>
  </si>
  <si>
    <t xml:space="preserve">T-00095</t>
  </si>
  <si>
    <t xml:space="preserve">F-1020</t>
  </si>
  <si>
    <t xml:space="preserve">Firma 1020 San. Tic. Ltd. Şti.</t>
  </si>
  <si>
    <t xml:space="preserve">T-00096</t>
  </si>
  <si>
    <t xml:space="preserve">F-1021</t>
  </si>
  <si>
    <t xml:space="preserve">Firma 1021 San. Tic. Ltd. Şti.</t>
  </si>
  <si>
    <t xml:space="preserve">2026-04-10</t>
  </si>
  <si>
    <t xml:space="preserve">T-00097</t>
  </si>
  <si>
    <t xml:space="preserve">2026-01-13</t>
  </si>
  <si>
    <t xml:space="preserve">T-00098</t>
  </si>
  <si>
    <t xml:space="preserve">2025-08-11</t>
  </si>
  <si>
    <t xml:space="preserve">T-00099</t>
  </si>
  <si>
    <t xml:space="preserve">F-1022</t>
  </si>
  <si>
    <t xml:space="preserve">Firma 1022 San. Tic. Ltd. Şti.</t>
  </si>
  <si>
    <t xml:space="preserve">2025-12-21</t>
  </si>
  <si>
    <t xml:space="preserve">T-00100</t>
  </si>
  <si>
    <t xml:space="preserve">F-1023</t>
  </si>
  <si>
    <t xml:space="preserve">Firma 1023 San. Tic. Ltd. Şti.</t>
  </si>
  <si>
    <t xml:space="preserve">T-00101</t>
  </si>
  <si>
    <t xml:space="preserve">F-1024</t>
  </si>
  <si>
    <t xml:space="preserve">Firma 1024 San. Tic. Ltd. Şti.</t>
  </si>
  <si>
    <t xml:space="preserve">T-00102</t>
  </si>
  <si>
    <t xml:space="preserve">F-1025</t>
  </si>
  <si>
    <t xml:space="preserve">Firma 1025 San. Tic. Ltd. Şti.</t>
  </si>
  <si>
    <t xml:space="preserve">T-00103</t>
  </si>
  <si>
    <t xml:space="preserve">2026-03-25</t>
  </si>
  <si>
    <t xml:space="preserve">T-00104</t>
  </si>
  <si>
    <t xml:space="preserve">F-1026</t>
  </si>
  <si>
    <t xml:space="preserve">Firma 1026 San. Tic. Ltd. Şti.</t>
  </si>
  <si>
    <t xml:space="preserve">T-00105</t>
  </si>
  <si>
    <t xml:space="preserve">T-00106</t>
  </si>
  <si>
    <t xml:space="preserve">T-00107</t>
  </si>
  <si>
    <t xml:space="preserve">2026-06-28</t>
  </si>
  <si>
    <t xml:space="preserve">T-00108</t>
  </si>
  <si>
    <t xml:space="preserve">T-00109</t>
  </si>
  <si>
    <t xml:space="preserve">2026-06-03</t>
  </si>
  <si>
    <t xml:space="preserve">T-00110</t>
  </si>
  <si>
    <t xml:space="preserve">2026-03-01</t>
  </si>
  <si>
    <t xml:space="preserve">T-00111</t>
  </si>
  <si>
    <t xml:space="preserve">2026-05-28</t>
  </si>
  <si>
    <t xml:space="preserve">T-00112</t>
  </si>
  <si>
    <t xml:space="preserve">T-00113</t>
  </si>
  <si>
    <t xml:space="preserve">2025-11-05</t>
  </si>
  <si>
    <t xml:space="preserve">T-00114</t>
  </si>
  <si>
    <t xml:space="preserve">F-1027</t>
  </si>
  <si>
    <t xml:space="preserve">Firma 1027 San. Tic. Ltd. Şti.</t>
  </si>
  <si>
    <t xml:space="preserve">2026-07-28</t>
  </si>
  <si>
    <t xml:space="preserve">T-00115</t>
  </si>
  <si>
    <t xml:space="preserve">2025-10-17</t>
  </si>
  <si>
    <t xml:space="preserve">T-00116</t>
  </si>
  <si>
    <t xml:space="preserve">T-00117</t>
  </si>
  <si>
    <t xml:space="preserve">T-00118</t>
  </si>
  <si>
    <t xml:space="preserve">2025-09-11</t>
  </si>
  <si>
    <t xml:space="preserve">T-00119</t>
  </si>
  <si>
    <t xml:space="preserve">2026-01-10</t>
  </si>
  <si>
    <t xml:space="preserve">T-00120</t>
  </si>
  <si>
    <t xml:space="preserve">2025-11-25</t>
  </si>
  <si>
    <t xml:space="preserve">T-00121</t>
  </si>
  <si>
    <t xml:space="preserve">T-00122</t>
  </si>
  <si>
    <t xml:space="preserve">F-1028</t>
  </si>
  <si>
    <t xml:space="preserve">Firma 1028 San. Tic. Ltd. Şti.</t>
  </si>
  <si>
    <t xml:space="preserve">2026-02-08</t>
  </si>
  <si>
    <t xml:space="preserve">T-00123</t>
  </si>
  <si>
    <t xml:space="preserve">F-1029</t>
  </si>
  <si>
    <t xml:space="preserve">Firma 1029 San. Tic. Ltd. Şti.</t>
  </si>
  <si>
    <t xml:space="preserve">2025-09-10</t>
  </si>
  <si>
    <t xml:space="preserve">T-00124</t>
  </si>
  <si>
    <t xml:space="preserve">T-00125</t>
  </si>
  <si>
    <t xml:space="preserve">2026-03-27</t>
  </si>
  <si>
    <t xml:space="preserve">T-00126</t>
  </si>
  <si>
    <t xml:space="preserve">2026-06-24</t>
  </si>
  <si>
    <t xml:space="preserve">T-00127</t>
  </si>
  <si>
    <t xml:space="preserve">F-1030</t>
  </si>
  <si>
    <t xml:space="preserve">Firma 1030 San. Tic. Ltd. Şti.</t>
  </si>
  <si>
    <t xml:space="preserve">2025-09-24</t>
  </si>
  <si>
    <t xml:space="preserve">T-00128</t>
  </si>
  <si>
    <t xml:space="preserve">2026-07-25</t>
  </si>
  <si>
    <t xml:space="preserve">T-00129</t>
  </si>
  <si>
    <t xml:space="preserve">T-00130</t>
  </si>
  <si>
    <t xml:space="preserve">2025-11-26</t>
  </si>
  <si>
    <t xml:space="preserve">T-00131</t>
  </si>
  <si>
    <t xml:space="preserve">2026-07-04</t>
  </si>
  <si>
    <t xml:space="preserve">T-00132</t>
  </si>
  <si>
    <t xml:space="preserve">2026-01-06</t>
  </si>
  <si>
    <t xml:space="preserve">T-00133</t>
  </si>
  <si>
    <t xml:space="preserve">T-00134</t>
  </si>
  <si>
    <t xml:space="preserve">2026-02-04</t>
  </si>
  <si>
    <t xml:space="preserve">T-00135</t>
  </si>
  <si>
    <t xml:space="preserve">2025-12-30</t>
  </si>
  <si>
    <t xml:space="preserve">T-00136</t>
  </si>
  <si>
    <t xml:space="preserve">2025-11-24</t>
  </si>
  <si>
    <t xml:space="preserve">T-00137</t>
  </si>
  <si>
    <t xml:space="preserve">T-00138</t>
  </si>
  <si>
    <t xml:space="preserve">F-1031</t>
  </si>
  <si>
    <t xml:space="preserve">Firma 1031 San. Tic. Ltd. Şti.</t>
  </si>
  <si>
    <t xml:space="preserve">2026-02-07</t>
  </si>
  <si>
    <t xml:space="preserve">T-00139</t>
  </si>
  <si>
    <t xml:space="preserve">2026-05-15</t>
  </si>
  <si>
    <t xml:space="preserve">T-00140</t>
  </si>
  <si>
    <t xml:space="preserve">2026-01-02</t>
  </si>
  <si>
    <t xml:space="preserve">T-00141</t>
  </si>
  <si>
    <t xml:space="preserve">T-00142</t>
  </si>
  <si>
    <t xml:space="preserve">T-00143</t>
  </si>
  <si>
    <t xml:space="preserve">T-00144</t>
  </si>
  <si>
    <t xml:space="preserve">2025-11-20</t>
  </si>
  <si>
    <t xml:space="preserve">T-00145</t>
  </si>
  <si>
    <t xml:space="preserve">2026-07-18</t>
  </si>
  <si>
    <t xml:space="preserve">T-00146</t>
  </si>
  <si>
    <t xml:space="preserve">F-1032</t>
  </si>
  <si>
    <t xml:space="preserve">Firma 1032 San. Tic. Ltd. Şti.</t>
  </si>
  <si>
    <t xml:space="preserve">2026-03-21</t>
  </si>
  <si>
    <t xml:space="preserve">T-00147</t>
  </si>
  <si>
    <t xml:space="preserve">F-1033</t>
  </si>
  <si>
    <t xml:space="preserve">Firma 1033 San. Tic. Ltd. Şti.</t>
  </si>
  <si>
    <t xml:space="preserve">2025-10-04</t>
  </si>
  <si>
    <t xml:space="preserve">T-00148</t>
  </si>
  <si>
    <t xml:space="preserve">F-1034</t>
  </si>
  <si>
    <t xml:space="preserve">Firma 1034 San. Tic. Ltd. Şti.</t>
  </si>
  <si>
    <t xml:space="preserve">2026-01-16</t>
  </si>
  <si>
    <t xml:space="preserve">T-00149</t>
  </si>
  <si>
    <t xml:space="preserve">T-00150</t>
  </si>
  <si>
    <t xml:space="preserve">2025-10-07</t>
  </si>
  <si>
    <t xml:space="preserve">T-00151</t>
  </si>
  <si>
    <t xml:space="preserve">F-1035</t>
  </si>
  <si>
    <t xml:space="preserve">Firma 1035 San. Tic. Ltd. Şti.</t>
  </si>
  <si>
    <t xml:space="preserve">T-00152</t>
  </si>
  <si>
    <t xml:space="preserve">2025-09-25</t>
  </si>
  <si>
    <t xml:space="preserve">T-00153</t>
  </si>
  <si>
    <t xml:space="preserve">T-00154</t>
  </si>
  <si>
    <t xml:space="preserve">2026-03-07</t>
  </si>
  <si>
    <t xml:space="preserve">T-00155</t>
  </si>
  <si>
    <t xml:space="preserve">T-00156</t>
  </si>
  <si>
    <t xml:space="preserve">T-00157</t>
  </si>
  <si>
    <t xml:space="preserve">2026-06-06</t>
  </si>
  <si>
    <t xml:space="preserve">T-00158</t>
  </si>
  <si>
    <t xml:space="preserve">2025-11-19</t>
  </si>
  <si>
    <t xml:space="preserve">T-00159</t>
  </si>
  <si>
    <t xml:space="preserve">T-00160</t>
  </si>
  <si>
    <t xml:space="preserve">2025-10-18</t>
  </si>
  <si>
    <t xml:space="preserve">T-00161</t>
  </si>
  <si>
    <t xml:space="preserve">2025-09-19</t>
  </si>
  <si>
    <t xml:space="preserve">T-00162</t>
  </si>
  <si>
    <t xml:space="preserve">2025-10-02</t>
  </si>
  <si>
    <t xml:space="preserve">T-00163</t>
  </si>
  <si>
    <t xml:space="preserve">T-00164</t>
  </si>
  <si>
    <t xml:space="preserve">T-00165</t>
  </si>
  <si>
    <t xml:space="preserve">T-00166</t>
  </si>
  <si>
    <t xml:space="preserve">2026-07-12</t>
  </si>
  <si>
    <t xml:space="preserve">T-00167</t>
  </si>
  <si>
    <t xml:space="preserve">T-00168</t>
  </si>
  <si>
    <t xml:space="preserve">2025-10-13</t>
  </si>
  <si>
    <t xml:space="preserve">T-00169</t>
  </si>
  <si>
    <t xml:space="preserve">F-1036</t>
  </si>
  <si>
    <t xml:space="preserve">Firma 1036 San. Tic. Ltd. Şti.</t>
  </si>
  <si>
    <t xml:space="preserve">2026-04-29</t>
  </si>
  <si>
    <t xml:space="preserve">T-00170</t>
  </si>
  <si>
    <t xml:space="preserve">2026-01-07</t>
  </si>
  <si>
    <t xml:space="preserve">T-00171</t>
  </si>
  <si>
    <t xml:space="preserve">2026-06-13</t>
  </si>
  <si>
    <t xml:space="preserve">T-00172</t>
  </si>
  <si>
    <t xml:space="preserve">2026-04-06</t>
  </si>
  <si>
    <t xml:space="preserve">T-00173</t>
  </si>
  <si>
    <t xml:space="preserve">2025-12-24</t>
  </si>
  <si>
    <t xml:space="preserve">T-00174</t>
  </si>
  <si>
    <t xml:space="preserve">2026-02-19</t>
  </si>
  <si>
    <t xml:space="preserve">T-00175</t>
  </si>
  <si>
    <t xml:space="preserve">2025-12-27</t>
  </si>
  <si>
    <t xml:space="preserve">T-00176</t>
  </si>
  <si>
    <t xml:space="preserve">2025-10-06</t>
  </si>
  <si>
    <t xml:space="preserve">T-00177</t>
  </si>
  <si>
    <t xml:space="preserve">2026-02-20</t>
  </si>
  <si>
    <t xml:space="preserve">T-00178</t>
  </si>
  <si>
    <t xml:space="preserve">F-1037</t>
  </si>
  <si>
    <t xml:space="preserve">Firma 1037 San. Tic. Ltd. Şti.</t>
  </si>
  <si>
    <t xml:space="preserve">2026-02-24</t>
  </si>
  <si>
    <t xml:space="preserve">T-00179</t>
  </si>
  <si>
    <t xml:space="preserve">2025-10-27</t>
  </si>
  <si>
    <t xml:space="preserve">T-00180</t>
  </si>
  <si>
    <t xml:space="preserve">T-00181</t>
  </si>
  <si>
    <t xml:space="preserve">2026-01-21</t>
  </si>
  <si>
    <t xml:space="preserve">T-00182</t>
  </si>
  <si>
    <t xml:space="preserve">F-1038</t>
  </si>
  <si>
    <t xml:space="preserve">Firma 1038 San. Tic. Ltd. Şti.</t>
  </si>
  <si>
    <t xml:space="preserve">2026-01-26</t>
  </si>
  <si>
    <t xml:space="preserve">T-00183</t>
  </si>
  <si>
    <t xml:space="preserve">T-00184</t>
  </si>
  <si>
    <t xml:space="preserve">2025-10-30</t>
  </si>
  <si>
    <t xml:space="preserve">T-00185</t>
  </si>
  <si>
    <t xml:space="preserve">2026-06-26</t>
  </si>
  <si>
    <t xml:space="preserve">T-00186</t>
  </si>
  <si>
    <t xml:space="preserve">T-00187</t>
  </si>
  <si>
    <t xml:space="preserve">T-00188</t>
  </si>
  <si>
    <t xml:space="preserve">T-00189</t>
  </si>
  <si>
    <t xml:space="preserve">2026-05-25</t>
  </si>
  <si>
    <t xml:space="preserve">T-00190</t>
  </si>
  <si>
    <t xml:space="preserve">2026-05-20</t>
  </si>
  <si>
    <t xml:space="preserve">T-00191</t>
  </si>
  <si>
    <t xml:space="preserve">2026-01-23</t>
  </si>
  <si>
    <t xml:space="preserve">T-00192</t>
  </si>
  <si>
    <t xml:space="preserve">2026-03-13</t>
  </si>
  <si>
    <t xml:space="preserve">T-00193</t>
  </si>
  <si>
    <t xml:space="preserve">T-00194</t>
  </si>
  <si>
    <t xml:space="preserve">F-1039</t>
  </si>
  <si>
    <t xml:space="preserve">Firma 1039 San. Tic. Ltd. Şti.</t>
  </si>
  <si>
    <t xml:space="preserve">2026-02-14</t>
  </si>
  <si>
    <t xml:space="preserve">T-00195</t>
  </si>
  <si>
    <t xml:space="preserve">2026-06-05</t>
  </si>
  <si>
    <t xml:space="preserve">T-00196</t>
  </si>
  <si>
    <t xml:space="preserve">2026-07-24</t>
  </si>
  <si>
    <t xml:space="preserve">T-00197</t>
  </si>
  <si>
    <t xml:space="preserve">F-1040</t>
  </si>
  <si>
    <t xml:space="preserve">Firma 1040 San. Tic. Ltd. Şti.</t>
  </si>
  <si>
    <t xml:space="preserve">T-00198</t>
  </si>
  <si>
    <t xml:space="preserve">2026-07-17</t>
  </si>
  <si>
    <t xml:space="preserve">T-00199</t>
  </si>
  <si>
    <t xml:space="preserve">2025-11-18</t>
  </si>
  <si>
    <t xml:space="preserve">T-00200</t>
  </si>
  <si>
    <t xml:space="preserve">2025-10-10</t>
  </si>
  <si>
    <t xml:space="preserve">T-00201</t>
  </si>
  <si>
    <t xml:space="preserve">2026-04-27</t>
  </si>
  <si>
    <t xml:space="preserve">T-00202</t>
  </si>
  <si>
    <t xml:space="preserve">T-00203</t>
  </si>
  <si>
    <t xml:space="preserve">T-00204</t>
  </si>
  <si>
    <t xml:space="preserve">2026-03-16</t>
  </si>
  <si>
    <t xml:space="preserve">T-00205</t>
  </si>
  <si>
    <t xml:space="preserve">2026-03-29</t>
  </si>
  <si>
    <t xml:space="preserve">T-00206</t>
  </si>
  <si>
    <t xml:space="preserve">T-00207</t>
  </si>
  <si>
    <t xml:space="preserve">T-00208</t>
  </si>
  <si>
    <t xml:space="preserve">T-00209</t>
  </si>
  <si>
    <t xml:space="preserve">2025-10-22</t>
  </si>
  <si>
    <t xml:space="preserve">T-00210</t>
  </si>
  <si>
    <t xml:space="preserve">2025-09-16</t>
  </si>
  <si>
    <t xml:space="preserve">T-00211</t>
  </si>
  <si>
    <t xml:space="preserve">T-00212</t>
  </si>
  <si>
    <t xml:space="preserve">2026-01-11</t>
  </si>
  <si>
    <t xml:space="preserve">T-00213</t>
  </si>
  <si>
    <t xml:space="preserve">2026-03-30</t>
  </si>
  <si>
    <t xml:space="preserve">T-00214</t>
  </si>
  <si>
    <t xml:space="preserve">T-00215</t>
  </si>
  <si>
    <t xml:space="preserve">2025-09-26</t>
  </si>
  <si>
    <t xml:space="preserve">T-00216</t>
  </si>
  <si>
    <t xml:space="preserve">T-00217</t>
  </si>
  <si>
    <t xml:space="preserve">F-1041</t>
  </si>
  <si>
    <t xml:space="preserve">Firma 1041 San. Tic. Ltd. Şti.</t>
  </si>
  <si>
    <t xml:space="preserve">2026-06-20</t>
  </si>
  <si>
    <t xml:space="preserve">T-00218</t>
  </si>
  <si>
    <t xml:space="preserve">T-00219</t>
  </si>
  <si>
    <t xml:space="preserve">2026-02-01</t>
  </si>
  <si>
    <t xml:space="preserve">T-00220</t>
  </si>
  <si>
    <t xml:space="preserve">T-00221</t>
  </si>
  <si>
    <t xml:space="preserve">2025-08-09</t>
  </si>
  <si>
    <t xml:space="preserve">T-00222</t>
  </si>
  <si>
    <t xml:space="preserve">2026-01-18</t>
  </si>
  <si>
    <t xml:space="preserve">T-00223</t>
  </si>
  <si>
    <t xml:space="preserve">2025-10-29</t>
  </si>
  <si>
    <t xml:space="preserve">T-00224</t>
  </si>
  <si>
    <t xml:space="preserve">2026-03-23</t>
  </si>
  <si>
    <t xml:space="preserve">T-00225</t>
  </si>
  <si>
    <t xml:space="preserve">2025-08-22</t>
  </si>
  <si>
    <t xml:space="preserve">T-00226</t>
  </si>
  <si>
    <t xml:space="preserve">T-00227</t>
  </si>
  <si>
    <t xml:space="preserve">2026-07-02</t>
  </si>
  <si>
    <t xml:space="preserve">T-00228</t>
  </si>
  <si>
    <t xml:space="preserve">T-00229</t>
  </si>
  <si>
    <t xml:space="preserve">2026-04-23</t>
  </si>
  <si>
    <t xml:space="preserve">T-00230</t>
  </si>
  <si>
    <t xml:space="preserve">2026-05-07</t>
  </si>
  <si>
    <t xml:space="preserve">T-00231</t>
  </si>
  <si>
    <t xml:space="preserve">2026-01-04</t>
  </si>
  <si>
    <t xml:space="preserve">T-00232</t>
  </si>
  <si>
    <t xml:space="preserve">2026-01-28</t>
  </si>
  <si>
    <t xml:space="preserve">T-00233</t>
  </si>
  <si>
    <t xml:space="preserve">T-00234</t>
  </si>
  <si>
    <t xml:space="preserve">2025-08-16</t>
  </si>
  <si>
    <t xml:space="preserve">T-00235</t>
  </si>
  <si>
    <t xml:space="preserve">T-00236</t>
  </si>
  <si>
    <t xml:space="preserve">T-00237</t>
  </si>
  <si>
    <t xml:space="preserve">F-1042</t>
  </si>
  <si>
    <t xml:space="preserve">Firma 1042 San. Tic. Ltd. Şti.</t>
  </si>
  <si>
    <t xml:space="preserve">T-00238</t>
  </si>
  <si>
    <t xml:space="preserve">2025-11-04</t>
  </si>
  <si>
    <t xml:space="preserve">T-00239</t>
  </si>
  <si>
    <t xml:space="preserve">T-00240</t>
  </si>
  <si>
    <t xml:space="preserve">T-00241</t>
  </si>
  <si>
    <t xml:space="preserve">2026-07-16</t>
  </si>
  <si>
    <t xml:space="preserve">T-00242</t>
  </si>
  <si>
    <t xml:space="preserve">T-00243</t>
  </si>
  <si>
    <t xml:space="preserve">2026-04-18</t>
  </si>
  <si>
    <t xml:space="preserve">T-00244</t>
  </si>
  <si>
    <t xml:space="preserve">T-00245</t>
  </si>
  <si>
    <t xml:space="preserve">2025-09-14</t>
  </si>
  <si>
    <t xml:space="preserve">T-00246</t>
  </si>
  <si>
    <t xml:space="preserve">T-00247</t>
  </si>
  <si>
    <t xml:space="preserve">T-00248</t>
  </si>
  <si>
    <t xml:space="preserve">T-00249</t>
  </si>
  <si>
    <t xml:space="preserve">2025-10-03</t>
  </si>
  <si>
    <t xml:space="preserve">T-00250</t>
  </si>
  <si>
    <t xml:space="preserve">2026-07-30</t>
  </si>
  <si>
    <t xml:space="preserve">T-00251</t>
  </si>
  <si>
    <t xml:space="preserve">2026-06-22</t>
  </si>
  <si>
    <t xml:space="preserve">T-00252</t>
  </si>
  <si>
    <t xml:space="preserve">2025-09-17</t>
  </si>
  <si>
    <t xml:space="preserve">T-00253</t>
  </si>
  <si>
    <t xml:space="preserve">T-00254</t>
  </si>
  <si>
    <t xml:space="preserve">F-1043</t>
  </si>
  <si>
    <t xml:space="preserve">Firma 1043 San. Tic. Ltd. Şti.</t>
  </si>
  <si>
    <t xml:space="preserve">2026-06-25</t>
  </si>
  <si>
    <t xml:space="preserve">T-00255</t>
  </si>
  <si>
    <t xml:space="preserve">F-1044</t>
  </si>
  <si>
    <t xml:space="preserve">Firma 1044 San. Tic. Ltd. Şti.</t>
  </si>
  <si>
    <t xml:space="preserve">2026-06-18</t>
  </si>
  <si>
    <t xml:space="preserve">T-00256</t>
  </si>
  <si>
    <t xml:space="preserve">T-00257</t>
  </si>
  <si>
    <t xml:space="preserve">2025-11-13</t>
  </si>
  <si>
    <t xml:space="preserve">T-00258</t>
  </si>
  <si>
    <t xml:space="preserve">2026-01-24</t>
  </si>
  <si>
    <t xml:space="preserve">T-00259</t>
  </si>
  <si>
    <t xml:space="preserve">T-00260</t>
  </si>
  <si>
    <t xml:space="preserve">2026-02-13</t>
  </si>
  <si>
    <t xml:space="preserve">T-00261</t>
  </si>
  <si>
    <t xml:space="preserve">2026-01-08</t>
  </si>
  <si>
    <t xml:space="preserve">T-00262</t>
  </si>
  <si>
    <t xml:space="preserve">2026-04-13</t>
  </si>
  <si>
    <t xml:space="preserve">T-00263</t>
  </si>
  <si>
    <t xml:space="preserve">2026-05-26</t>
  </si>
  <si>
    <t xml:space="preserve">T-00264</t>
  </si>
  <si>
    <t xml:space="preserve">T-00265</t>
  </si>
  <si>
    <t xml:space="preserve">T-00266</t>
  </si>
  <si>
    <t xml:space="preserve">2025-11-08</t>
  </si>
  <si>
    <t xml:space="preserve">T-00267</t>
  </si>
  <si>
    <t xml:space="preserve">2026-06-16</t>
  </si>
  <si>
    <t xml:space="preserve">T-00268</t>
  </si>
  <si>
    <t xml:space="preserve">T-00269</t>
  </si>
  <si>
    <t xml:space="preserve">T-00270</t>
  </si>
  <si>
    <t xml:space="preserve">2026-03-22</t>
  </si>
  <si>
    <t xml:space="preserve">T-00271</t>
  </si>
  <si>
    <t xml:space="preserve">2026-06-12</t>
  </si>
  <si>
    <t xml:space="preserve">T-00272</t>
  </si>
  <si>
    <t xml:space="preserve">2026-04-08</t>
  </si>
  <si>
    <t xml:space="preserve">T-00273</t>
  </si>
  <si>
    <t xml:space="preserve">F-1045</t>
  </si>
  <si>
    <t xml:space="preserve">Firma 1045 San. Tic. Ltd. Şti.</t>
  </si>
  <si>
    <t xml:space="preserve">T-00274</t>
  </si>
  <si>
    <t xml:space="preserve">T-00275</t>
  </si>
  <si>
    <t xml:space="preserve">T-00276</t>
  </si>
  <si>
    <t xml:space="preserve">F-1046</t>
  </si>
  <si>
    <t xml:space="preserve">Firma 1046 San. Tic. Ltd. Şti.</t>
  </si>
  <si>
    <t xml:space="preserve">T-00277</t>
  </si>
  <si>
    <t xml:space="preserve">2026-04-14</t>
  </si>
  <si>
    <t xml:space="preserve">T-00278</t>
  </si>
  <si>
    <t xml:space="preserve">2025-09-01</t>
  </si>
  <si>
    <t xml:space="preserve">T-00279</t>
  </si>
  <si>
    <t xml:space="preserve">2025-10-28</t>
  </si>
  <si>
    <t xml:space="preserve">T-00280</t>
  </si>
  <si>
    <t xml:space="preserve">2026-07-15</t>
  </si>
  <si>
    <t xml:space="preserve">T-00281</t>
  </si>
  <si>
    <t xml:space="preserve">2025-12-31</t>
  </si>
  <si>
    <t xml:space="preserve">T-00282</t>
  </si>
  <si>
    <t xml:space="preserve">2026-04-03</t>
  </si>
  <si>
    <t xml:space="preserve">T-00283</t>
  </si>
  <si>
    <t xml:space="preserve">2026-05-06</t>
  </si>
  <si>
    <t xml:space="preserve">T-00284</t>
  </si>
  <si>
    <t xml:space="preserve">2025-10-14</t>
  </si>
  <si>
    <t xml:space="preserve">T-00285</t>
  </si>
  <si>
    <t xml:space="preserve">T-00286</t>
  </si>
  <si>
    <t xml:space="preserve">T-00287</t>
  </si>
  <si>
    <t xml:space="preserve">T-00288</t>
  </si>
  <si>
    <t xml:space="preserve">T-00289</t>
  </si>
  <si>
    <t xml:space="preserve">T-00290</t>
  </si>
  <si>
    <t xml:space="preserve">2026-01-12</t>
  </si>
  <si>
    <t xml:space="preserve">T-00291</t>
  </si>
  <si>
    <t xml:space="preserve">2025-08-20</t>
  </si>
  <si>
    <t xml:space="preserve">T-00292</t>
  </si>
  <si>
    <t xml:space="preserve">2025-08-19</t>
  </si>
  <si>
    <t xml:space="preserve">T-00293</t>
  </si>
  <si>
    <t xml:space="preserve">F-1047</t>
  </si>
  <si>
    <t xml:space="preserve">Firma 1047 San. Tic. Ltd. Şti.</t>
  </si>
  <si>
    <t xml:space="preserve">T-00294</t>
  </si>
  <si>
    <t xml:space="preserve">T-00295</t>
  </si>
  <si>
    <t xml:space="preserve">F-1048</t>
  </si>
  <si>
    <t xml:space="preserve">Firma 1048 San. Tic. Ltd. Şti.</t>
  </si>
  <si>
    <t xml:space="preserve">2025-09-27</t>
  </si>
  <si>
    <t xml:space="preserve">T-00296</t>
  </si>
  <si>
    <t xml:space="preserve">T-00297</t>
  </si>
  <si>
    <t xml:space="preserve">T-00298</t>
  </si>
  <si>
    <t xml:space="preserve">T-00299</t>
  </si>
  <si>
    <t xml:space="preserve">T-00300</t>
  </si>
  <si>
    <t xml:space="preserve">2026-05-21</t>
  </si>
  <si>
    <t xml:space="preserve">T-00301</t>
  </si>
  <si>
    <t xml:space="preserve">2025-10-21</t>
  </si>
  <si>
    <t xml:space="preserve">T-00302</t>
  </si>
  <si>
    <t xml:space="preserve">T-00303</t>
  </si>
  <si>
    <t xml:space="preserve">F-1049</t>
  </si>
  <si>
    <t xml:space="preserve">Firma 1049 San. Tic. Ltd. Şti.</t>
  </si>
  <si>
    <t xml:space="preserve">2026-04-02</t>
  </si>
  <si>
    <t xml:space="preserve">T-00304</t>
  </si>
  <si>
    <t xml:space="preserve">T-00305</t>
  </si>
  <si>
    <t xml:space="preserve">T-00306</t>
  </si>
  <si>
    <t xml:space="preserve">2026-05-08</t>
  </si>
  <si>
    <t xml:space="preserve">T-00307</t>
  </si>
  <si>
    <t xml:space="preserve">2026-04-24</t>
  </si>
  <si>
    <t xml:space="preserve">T-00308</t>
  </si>
  <si>
    <t xml:space="preserve">2025-08-29</t>
  </si>
  <si>
    <t xml:space="preserve">T-00309</t>
  </si>
  <si>
    <t xml:space="preserve">2026-05-14</t>
  </si>
  <si>
    <t xml:space="preserve">T-00310</t>
  </si>
  <si>
    <t xml:space="preserve">T-00311</t>
  </si>
  <si>
    <t xml:space="preserve">2026-05-05</t>
  </si>
  <si>
    <t xml:space="preserve">T-00312</t>
  </si>
  <si>
    <t xml:space="preserve">2025-10-09</t>
  </si>
  <si>
    <t xml:space="preserve">T-00313</t>
  </si>
  <si>
    <t xml:space="preserve">2026-02-10</t>
  </si>
  <si>
    <t xml:space="preserve">T-00314</t>
  </si>
  <si>
    <t xml:space="preserve">2025-09-30</t>
  </si>
  <si>
    <t xml:space="preserve">T-00315</t>
  </si>
  <si>
    <t xml:space="preserve">T-00316</t>
  </si>
  <si>
    <t xml:space="preserve">T-00317</t>
  </si>
  <si>
    <t xml:space="preserve">T-00318</t>
  </si>
  <si>
    <t xml:space="preserve">2025-11-14</t>
  </si>
  <si>
    <t xml:space="preserve">T-00319</t>
  </si>
  <si>
    <t xml:space="preserve">2026-07-27</t>
  </si>
  <si>
    <t xml:space="preserve">T-00320</t>
  </si>
  <si>
    <t xml:space="preserve">T-00321</t>
  </si>
  <si>
    <t xml:space="preserve">2026-05-22</t>
  </si>
  <si>
    <t xml:space="preserve">T-00322</t>
  </si>
  <si>
    <t xml:space="preserve">2026-07-05</t>
  </si>
  <si>
    <t xml:space="preserve">T-00323</t>
  </si>
  <si>
    <t xml:space="preserve">F-1050</t>
  </si>
  <si>
    <t xml:space="preserve">Firma 1050 San. Tic. Ltd. Şti.</t>
  </si>
  <si>
    <t xml:space="preserve">T-00324</t>
  </si>
  <si>
    <t xml:space="preserve">T-00325</t>
  </si>
  <si>
    <t xml:space="preserve">T-00326</t>
  </si>
  <si>
    <t xml:space="preserve">T-00327</t>
  </si>
  <si>
    <t xml:space="preserve">2025-12-03</t>
  </si>
  <si>
    <t xml:space="preserve">T-00328</t>
  </si>
  <si>
    <t xml:space="preserve">T-00329</t>
  </si>
  <si>
    <t xml:space="preserve">2025-08-21</t>
  </si>
  <si>
    <t xml:space="preserve">T-00330</t>
  </si>
  <si>
    <t xml:space="preserve">F-1051</t>
  </si>
  <si>
    <t xml:space="preserve">Firma 1051 San. Tic. Ltd. Şti.</t>
  </si>
  <si>
    <t xml:space="preserve">T-00331</t>
  </si>
  <si>
    <t xml:space="preserve">T-00332</t>
  </si>
  <si>
    <t xml:space="preserve">T-00333</t>
  </si>
  <si>
    <t xml:space="preserve">2025-12-12</t>
  </si>
  <si>
    <t xml:space="preserve">T-00334</t>
  </si>
  <si>
    <t xml:space="preserve">T-00335</t>
  </si>
  <si>
    <t xml:space="preserve">2025-11-22</t>
  </si>
  <si>
    <t xml:space="preserve">T-00336</t>
  </si>
  <si>
    <t xml:space="preserve">2025-11-09</t>
  </si>
  <si>
    <t xml:space="preserve">T-00337</t>
  </si>
  <si>
    <t xml:space="preserve">T-00338</t>
  </si>
  <si>
    <t xml:space="preserve">F-1052</t>
  </si>
  <si>
    <t xml:space="preserve">Firma 1052 San. Tic. Ltd. Şti.</t>
  </si>
  <si>
    <t xml:space="preserve">T-00339</t>
  </si>
  <si>
    <t xml:space="preserve">T-00340</t>
  </si>
  <si>
    <t xml:space="preserve">T-00341</t>
  </si>
  <si>
    <t xml:space="preserve">2025-08-05</t>
  </si>
  <si>
    <t xml:space="preserve">T-00342</t>
  </si>
  <si>
    <t xml:space="preserve">2026-07-08</t>
  </si>
  <si>
    <t xml:space="preserve">T-00343</t>
  </si>
  <si>
    <t xml:space="preserve">T-00344</t>
  </si>
  <si>
    <t xml:space="preserve">2026-04-15</t>
  </si>
  <si>
    <t xml:space="preserve">T-00345</t>
  </si>
  <si>
    <t xml:space="preserve">2025-11-07</t>
  </si>
  <si>
    <t xml:space="preserve">T-00346</t>
  </si>
  <si>
    <t xml:space="preserve">T-00347</t>
  </si>
  <si>
    <t xml:space="preserve">T-00348</t>
  </si>
  <si>
    <t xml:space="preserve">T-00349</t>
  </si>
  <si>
    <t xml:space="preserve">F-1053</t>
  </si>
  <si>
    <t xml:space="preserve">Firma 1053 San. Tic. Ltd. Şti.</t>
  </si>
  <si>
    <t xml:space="preserve">T-00350</t>
  </si>
  <si>
    <t xml:space="preserve">T-00351</t>
  </si>
  <si>
    <t xml:space="preserve">2026-04-01</t>
  </si>
  <si>
    <t xml:space="preserve">T-00352</t>
  </si>
  <si>
    <t xml:space="preserve">2025-08-17</t>
  </si>
  <si>
    <t xml:space="preserve">T-00353</t>
  </si>
  <si>
    <t xml:space="preserve">T-00354</t>
  </si>
  <si>
    <t xml:space="preserve">2025-12-02</t>
  </si>
  <si>
    <t xml:space="preserve">T-00355</t>
  </si>
  <si>
    <t xml:space="preserve">T-00356</t>
  </si>
  <si>
    <t xml:space="preserve">T-00357</t>
  </si>
  <si>
    <t xml:space="preserve">T-00358</t>
  </si>
  <si>
    <t xml:space="preserve">T-00359</t>
  </si>
  <si>
    <t xml:space="preserve">T-00360</t>
  </si>
  <si>
    <t xml:space="preserve">T-00361</t>
  </si>
  <si>
    <t xml:space="preserve">2026-02-16</t>
  </si>
  <si>
    <t xml:space="preserve">T-00362</t>
  </si>
  <si>
    <t xml:space="preserve">2025-09-22</t>
  </si>
  <si>
    <t xml:space="preserve">T-00363</t>
  </si>
  <si>
    <t xml:space="preserve">2026-04-20</t>
  </si>
  <si>
    <t xml:space="preserve">T-00364</t>
  </si>
  <si>
    <t xml:space="preserve">T-00365</t>
  </si>
  <si>
    <t xml:space="preserve">F-1054</t>
  </si>
  <si>
    <t xml:space="preserve">Firma 1054 San. Tic. Ltd. Şti.</t>
  </si>
  <si>
    <t xml:space="preserve">T-00366</t>
  </si>
  <si>
    <t xml:space="preserve">T-00367</t>
  </si>
  <si>
    <t xml:space="preserve">2025-09-09</t>
  </si>
  <si>
    <t xml:space="preserve">T-00368</t>
  </si>
  <si>
    <t xml:space="preserve">2026-06-01</t>
  </si>
  <si>
    <t xml:space="preserve">T-00369</t>
  </si>
  <si>
    <t xml:space="preserve">F-1055</t>
  </si>
  <si>
    <t xml:space="preserve">Firma 1055 San. Tic. Ltd. Şti.</t>
  </si>
  <si>
    <t xml:space="preserve">T-00370</t>
  </si>
  <si>
    <t xml:space="preserve">T-00371</t>
  </si>
  <si>
    <t xml:space="preserve">F-1056</t>
  </si>
  <si>
    <t xml:space="preserve">Firma 1056 San. Tic. Ltd. Şti.</t>
  </si>
  <si>
    <t xml:space="preserve">T-00372</t>
  </si>
  <si>
    <t xml:space="preserve">F-1057</t>
  </si>
  <si>
    <t xml:space="preserve">Firma 1057 San. Tic. Ltd. Şti.</t>
  </si>
  <si>
    <t xml:space="preserve">2026-02-09</t>
  </si>
  <si>
    <t xml:space="preserve">T-00373</t>
  </si>
  <si>
    <t xml:space="preserve">2026-05-16</t>
  </si>
  <si>
    <t xml:space="preserve">T-00374</t>
  </si>
  <si>
    <t xml:space="preserve">T-00375</t>
  </si>
  <si>
    <t xml:space="preserve">T-00376</t>
  </si>
  <si>
    <t xml:space="preserve">T-00377</t>
  </si>
  <si>
    <t xml:space="preserve">F-1058</t>
  </si>
  <si>
    <t xml:space="preserve">Firma 1058 San. Tic. Ltd. Şti.</t>
  </si>
  <si>
    <t xml:space="preserve">2026-07-21</t>
  </si>
  <si>
    <t xml:space="preserve">T-00378</t>
  </si>
  <si>
    <t xml:space="preserve">T-00379</t>
  </si>
  <si>
    <t xml:space="preserve">F-1059</t>
  </si>
  <si>
    <t xml:space="preserve">Firma 1059 San. Tic. Ltd. Şti.</t>
  </si>
  <si>
    <t xml:space="preserve">T-00380</t>
  </si>
  <si>
    <t xml:space="preserve">F-1060</t>
  </si>
  <si>
    <t xml:space="preserve">Firma 1060 San. Tic. Ltd. Şti.</t>
  </si>
  <si>
    <t xml:space="preserve">İşlem Sayısı</t>
  </si>
  <si>
    <t xml:space="preserve">Toplam Hacim (kg)</t>
  </si>
  <si>
    <t xml:space="preserve">Ortalama İşlem Büyüklüğü (kg)</t>
  </si>
  <si>
    <t xml:space="preserve">Ortalama Birim Fiyat (TL/kg)</t>
  </si>
  <si>
    <t xml:space="preserve">Toplam Ciro (TL)</t>
  </si>
  <si>
    <t xml:space="preserve">DAĞILIM İSTATİSTİKLERİ (Toplam Hacim, kg)</t>
  </si>
  <si>
    <t xml:space="preserve">Minimum</t>
  </si>
  <si>
    <t xml:space="preserve">1. Çeyrek (Q1 - %25)</t>
  </si>
  <si>
    <t xml:space="preserve">Medyan (Q2 - %50)</t>
  </si>
  <si>
    <t xml:space="preserve">3. Çeyrek (Q3 - %75)</t>
  </si>
  <si>
    <t xml:space="preserve">Maksimum</t>
  </si>
  <si>
    <t xml:space="preserve">Ortalama (Aritmetik)</t>
  </si>
  <si>
    <t xml:space="preserve">Not: 'Ortalama işlem hacimli firma' tanımı IQR (Q1-Q3) aralığı ile yapılmıştır.</t>
  </si>
  <si>
    <t xml:space="preserve">Filtre: Toplam Hacim, Firma_Ozeti sekmesindeki Q1-Q3 (IQR) aralığında olan firmalar</t>
  </si>
  <si>
    <t xml:space="preserve">Ort. Birim Fiyat (TL/kg)</t>
  </si>
  <si>
    <t xml:space="preserve">Hacim Segmenti</t>
  </si>
  <si>
    <t xml:space="preserve">Ortalama</t>
  </si>
  <si>
    <t xml:space="preserve">ÖZET VE ÇEVRESEL ETKİ (Ortalama Hacimli Firmalar)</t>
  </si>
  <si>
    <t xml:space="preserve">Filtreye Giren Firma Sayısı</t>
  </si>
  <si>
    <t xml:space="preserve">Toplam İşlem Hacmi (kg)</t>
  </si>
  <si>
    <t xml:space="preserve">Toplam İşlem Hacmi (ton)</t>
  </si>
  <si>
    <t xml:space="preserve">ÇEVRESEL ETKİ — ÖNLENEN BİRİNCİL ÜRETİM</t>
  </si>
  <si>
    <t xml:space="preserve">Bu malzemeler platformda satılmasaydı hurdaya ayrılıp SONRADAN eritilerek geri kazanılması gerekecekti. Doğrudan yeniden kullanım, hem hurdaya gitmeyi hem de yeniden eritme (birincil üretim) sürecini baştan önler.</t>
  </si>
  <si>
    <t xml:space="preserve">1 ton doğrudan yeniden kullanılan çelik = önlenen ham demir cevheri (ton)</t>
  </si>
  <si>
    <t xml:space="preserve">1 ton doğrudan yeniden kullanılan çelik = önlenen CO2 emisyonu (ton)</t>
  </si>
  <si>
    <t xml:space="preserve">Önlenen Hammadde (Demir Cevheri, ton)</t>
  </si>
  <si>
    <t xml:space="preserve">Önlenen CO2 Emisyonu (ton)</t>
  </si>
  <si>
    <t xml:space="preserve">Kaynak: Katsayılar birincil çelik üretiminin (cevherden) çevresel maliyeti literatüründen alınmıştır. Gerçek platform verisi temin edildiğinde güncellenmelidir.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</si>
</sst>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/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 t="s">
        <v>25</v>
      </c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3"/>
    </row>
    <row r="34" customFormat="false" ht="15" hidden="false" customHeight="false" outlineLevel="0" collapsed="false">
      <c r="A34" s="4" t="s">
        <v>27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3" t="s">
        <v>29</v>
      </c>
    </row>
    <row r="37" customFormat="false" ht="15" hidden="false" customHeight="false" outlineLevel="0" collapsed="false">
      <c r="A37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26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2" min="11" style="0" width="16"/>
    <col collapsed="false" customWidth="true" hidden="false" outlineLevel="0" max="13" min="13" style="0" width="14"/>
  </cols>
  <sheetData>
    <row r="1" customFormat="false" ht="23.85" hidden="false" customHeight="fals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 t="s">
        <v>43</v>
      </c>
    </row>
    <row r="2" customFormat="false" ht="15" hidden="false" customHeight="false" outlineLevel="0" collapsed="false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7" t="n">
        <v>28.42</v>
      </c>
      <c r="J2" s="8" t="n">
        <v>931.9</v>
      </c>
      <c r="K2" s="7" t="n">
        <v>23.76</v>
      </c>
      <c r="L2" s="7" t="n">
        <v>22142</v>
      </c>
      <c r="M2" s="6" t="s">
        <v>52</v>
      </c>
    </row>
    <row r="3" customFormat="false" ht="15" hidden="false" customHeight="false" outlineLevel="0" collapsed="false">
      <c r="A3" s="6" t="s">
        <v>53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54</v>
      </c>
      <c r="G3" s="6" t="s">
        <v>50</v>
      </c>
      <c r="H3" s="6" t="s">
        <v>55</v>
      </c>
      <c r="I3" s="7" t="n">
        <v>10.73</v>
      </c>
      <c r="J3" s="8" t="n">
        <v>1100.6</v>
      </c>
      <c r="K3" s="7" t="n">
        <v>9.91</v>
      </c>
      <c r="L3" s="7" t="n">
        <v>10906.63</v>
      </c>
      <c r="M3" s="6" t="s">
        <v>56</v>
      </c>
    </row>
    <row r="4" customFormat="false" ht="15" hidden="false" customHeight="fals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48</v>
      </c>
      <c r="F4" s="6" t="s">
        <v>61</v>
      </c>
      <c r="G4" s="6" t="s">
        <v>62</v>
      </c>
      <c r="H4" s="6" t="s">
        <v>51</v>
      </c>
      <c r="I4" s="7" t="n">
        <v>37.98</v>
      </c>
      <c r="J4" s="8" t="n">
        <v>500</v>
      </c>
      <c r="K4" s="7" t="n">
        <v>27.06</v>
      </c>
      <c r="L4" s="7" t="n">
        <v>13530</v>
      </c>
      <c r="M4" s="6" t="s">
        <v>63</v>
      </c>
    </row>
    <row r="5" customFormat="false" ht="15" hidden="false" customHeight="false" outlineLevel="0" collapsed="false">
      <c r="A5" s="6" t="s">
        <v>64</v>
      </c>
      <c r="B5" s="6" t="s">
        <v>58</v>
      </c>
      <c r="C5" s="6" t="s">
        <v>59</v>
      </c>
      <c r="D5" s="6" t="s">
        <v>60</v>
      </c>
      <c r="E5" s="6" t="s">
        <v>48</v>
      </c>
      <c r="F5" s="6" t="s">
        <v>65</v>
      </c>
      <c r="G5" s="6" t="s">
        <v>66</v>
      </c>
      <c r="H5" s="6" t="s">
        <v>51</v>
      </c>
      <c r="I5" s="7" t="n">
        <v>31.93</v>
      </c>
      <c r="J5" s="8" t="n">
        <v>300</v>
      </c>
      <c r="K5" s="7" t="n">
        <v>27.9</v>
      </c>
      <c r="L5" s="7" t="n">
        <v>8370</v>
      </c>
      <c r="M5" s="6" t="s">
        <v>67</v>
      </c>
    </row>
    <row r="6" customFormat="false" ht="15" hidden="false" customHeight="false" outlineLevel="0" collapsed="false">
      <c r="A6" s="6" t="s">
        <v>68</v>
      </c>
      <c r="B6" s="6" t="s">
        <v>69</v>
      </c>
      <c r="C6" s="6" t="s">
        <v>70</v>
      </c>
      <c r="D6" s="6" t="s">
        <v>60</v>
      </c>
      <c r="E6" s="6" t="s">
        <v>48</v>
      </c>
      <c r="F6" s="6" t="s">
        <v>49</v>
      </c>
      <c r="G6" s="6" t="s">
        <v>66</v>
      </c>
      <c r="H6" s="6" t="s">
        <v>55</v>
      </c>
      <c r="I6" s="7" t="n">
        <v>28.62</v>
      </c>
      <c r="J6" s="8" t="n">
        <v>3332.6</v>
      </c>
      <c r="K6" s="7" t="n">
        <v>27.65</v>
      </c>
      <c r="L6" s="7" t="n">
        <v>92145.22</v>
      </c>
      <c r="M6" s="6" t="s">
        <v>71</v>
      </c>
    </row>
    <row r="7" customFormat="false" ht="15" hidden="false" customHeight="false" outlineLevel="0" collapsed="false">
      <c r="A7" s="6" t="s">
        <v>72</v>
      </c>
      <c r="B7" s="6" t="s">
        <v>69</v>
      </c>
      <c r="C7" s="6" t="s">
        <v>70</v>
      </c>
      <c r="D7" s="6" t="s">
        <v>60</v>
      </c>
      <c r="E7" s="6" t="s">
        <v>48</v>
      </c>
      <c r="F7" s="6" t="s">
        <v>61</v>
      </c>
      <c r="G7" s="6" t="s">
        <v>66</v>
      </c>
      <c r="H7" s="6" t="s">
        <v>55</v>
      </c>
      <c r="I7" s="7" t="n">
        <v>38.03</v>
      </c>
      <c r="J7" s="8" t="n">
        <v>4196</v>
      </c>
      <c r="K7" s="7" t="n">
        <v>36.74</v>
      </c>
      <c r="L7" s="7" t="n">
        <v>154162.67</v>
      </c>
      <c r="M7" s="6" t="s">
        <v>73</v>
      </c>
    </row>
    <row r="8" customFormat="false" ht="15" hidden="false" customHeight="false" outlineLevel="0" collapsed="false">
      <c r="A8" s="6" t="s">
        <v>74</v>
      </c>
      <c r="B8" s="6" t="s">
        <v>75</v>
      </c>
      <c r="C8" s="6" t="s">
        <v>76</v>
      </c>
      <c r="D8" s="6" t="s">
        <v>60</v>
      </c>
      <c r="E8" s="6" t="s">
        <v>48</v>
      </c>
      <c r="F8" s="6" t="s">
        <v>61</v>
      </c>
      <c r="G8" s="6" t="s">
        <v>50</v>
      </c>
      <c r="H8" s="6" t="s">
        <v>77</v>
      </c>
      <c r="I8" s="7" t="n">
        <v>39.46</v>
      </c>
      <c r="J8" s="8" t="n">
        <v>1659.6</v>
      </c>
      <c r="K8" s="7" t="n">
        <v>34.73</v>
      </c>
      <c r="L8" s="7" t="n">
        <v>57636.81</v>
      </c>
      <c r="M8" s="6" t="s">
        <v>78</v>
      </c>
    </row>
    <row r="9" customFormat="false" ht="15" hidden="false" customHeight="false" outlineLevel="0" collapsed="false">
      <c r="A9" s="6" t="s">
        <v>79</v>
      </c>
      <c r="B9" s="6" t="s">
        <v>80</v>
      </c>
      <c r="C9" s="6" t="s">
        <v>81</v>
      </c>
      <c r="D9" s="6" t="s">
        <v>82</v>
      </c>
      <c r="E9" s="6" t="s">
        <v>48</v>
      </c>
      <c r="F9" s="6" t="s">
        <v>65</v>
      </c>
      <c r="G9" s="6" t="s">
        <v>62</v>
      </c>
      <c r="H9" s="6" t="s">
        <v>55</v>
      </c>
      <c r="I9" s="7" t="n">
        <v>31.97</v>
      </c>
      <c r="J9" s="8" t="n">
        <v>761.4</v>
      </c>
      <c r="K9" s="7" t="n">
        <v>25.18</v>
      </c>
      <c r="L9" s="7" t="n">
        <v>19172.34</v>
      </c>
      <c r="M9" s="6" t="s">
        <v>83</v>
      </c>
    </row>
    <row r="10" customFormat="false" ht="15" hidden="false" customHeight="false" outlineLevel="0" collapsed="false">
      <c r="A10" s="6" t="s">
        <v>84</v>
      </c>
      <c r="B10" s="6" t="s">
        <v>85</v>
      </c>
      <c r="C10" s="6" t="s">
        <v>86</v>
      </c>
      <c r="D10" s="6" t="s">
        <v>87</v>
      </c>
      <c r="E10" s="6" t="s">
        <v>48</v>
      </c>
      <c r="F10" s="6" t="s">
        <v>88</v>
      </c>
      <c r="G10" s="6" t="s">
        <v>62</v>
      </c>
      <c r="H10" s="6" t="s">
        <v>51</v>
      </c>
      <c r="I10" s="7" t="n">
        <v>27.94</v>
      </c>
      <c r="J10" s="8" t="n">
        <v>2410.6</v>
      </c>
      <c r="K10" s="7" t="n">
        <v>19.91</v>
      </c>
      <c r="L10" s="7" t="n">
        <v>47995.17</v>
      </c>
      <c r="M10" s="6" t="s">
        <v>89</v>
      </c>
    </row>
    <row r="11" customFormat="false" ht="15" hidden="false" customHeight="false" outlineLevel="0" collapsed="false">
      <c r="A11" s="6" t="s">
        <v>90</v>
      </c>
      <c r="B11" s="6" t="s">
        <v>85</v>
      </c>
      <c r="C11" s="6" t="s">
        <v>86</v>
      </c>
      <c r="D11" s="6" t="s">
        <v>87</v>
      </c>
      <c r="E11" s="6" t="s">
        <v>48</v>
      </c>
      <c r="F11" s="6" t="s">
        <v>49</v>
      </c>
      <c r="G11" s="6" t="s">
        <v>50</v>
      </c>
      <c r="H11" s="6" t="s">
        <v>77</v>
      </c>
      <c r="I11" s="7" t="n">
        <v>28.59</v>
      </c>
      <c r="J11" s="8" t="n">
        <v>2601.9</v>
      </c>
      <c r="K11" s="7" t="n">
        <v>25.16</v>
      </c>
      <c r="L11" s="7" t="n">
        <v>65463.86</v>
      </c>
      <c r="M11" s="6" t="s">
        <v>91</v>
      </c>
    </row>
    <row r="12" customFormat="false" ht="15" hidden="false" customHeight="false" outlineLevel="0" collapsed="false">
      <c r="A12" s="6" t="s">
        <v>92</v>
      </c>
      <c r="B12" s="6" t="s">
        <v>93</v>
      </c>
      <c r="C12" s="6" t="s">
        <v>94</v>
      </c>
      <c r="D12" s="6" t="s">
        <v>47</v>
      </c>
      <c r="E12" s="6" t="s">
        <v>48</v>
      </c>
      <c r="F12" s="6" t="s">
        <v>54</v>
      </c>
      <c r="G12" s="6" t="s">
        <v>66</v>
      </c>
      <c r="H12" s="6" t="s">
        <v>51</v>
      </c>
      <c r="I12" s="7" t="n">
        <v>10.72</v>
      </c>
      <c r="J12" s="8" t="n">
        <v>854</v>
      </c>
      <c r="K12" s="7" t="n">
        <v>9.37</v>
      </c>
      <c r="L12" s="7" t="n">
        <v>8002.27</v>
      </c>
      <c r="M12" s="6" t="s">
        <v>95</v>
      </c>
    </row>
    <row r="13" customFormat="false" ht="15" hidden="false" customHeight="false" outlineLevel="0" collapsed="false">
      <c r="A13" s="6" t="s">
        <v>96</v>
      </c>
      <c r="B13" s="6" t="s">
        <v>93</v>
      </c>
      <c r="C13" s="6" t="s">
        <v>94</v>
      </c>
      <c r="D13" s="6" t="s">
        <v>47</v>
      </c>
      <c r="E13" s="6" t="s">
        <v>48</v>
      </c>
      <c r="F13" s="6" t="s">
        <v>61</v>
      </c>
      <c r="G13" s="6" t="s">
        <v>50</v>
      </c>
      <c r="H13" s="6" t="s">
        <v>51</v>
      </c>
      <c r="I13" s="7" t="n">
        <v>37.7</v>
      </c>
      <c r="J13" s="8" t="n">
        <v>1200.5</v>
      </c>
      <c r="K13" s="7" t="n">
        <v>31.52</v>
      </c>
      <c r="L13" s="7" t="n">
        <v>37839.85</v>
      </c>
      <c r="M13" s="6" t="s">
        <v>97</v>
      </c>
    </row>
    <row r="14" customFormat="false" ht="15" hidden="false" customHeight="false" outlineLevel="0" collapsed="false">
      <c r="A14" s="6" t="s">
        <v>98</v>
      </c>
      <c r="B14" s="6" t="s">
        <v>93</v>
      </c>
      <c r="C14" s="6" t="s">
        <v>94</v>
      </c>
      <c r="D14" s="6" t="s">
        <v>47</v>
      </c>
      <c r="E14" s="6" t="s">
        <v>48</v>
      </c>
      <c r="F14" s="6" t="s">
        <v>49</v>
      </c>
      <c r="G14" s="6" t="s">
        <v>50</v>
      </c>
      <c r="H14" s="6" t="s">
        <v>51</v>
      </c>
      <c r="I14" s="7" t="n">
        <v>27.78</v>
      </c>
      <c r="J14" s="8" t="n">
        <v>757.3</v>
      </c>
      <c r="K14" s="7" t="n">
        <v>23.23</v>
      </c>
      <c r="L14" s="7" t="n">
        <v>17592.22</v>
      </c>
      <c r="M14" s="6" t="s">
        <v>99</v>
      </c>
    </row>
    <row r="15" customFormat="false" ht="15" hidden="false" customHeight="false" outlineLevel="0" collapsed="false">
      <c r="A15" s="6" t="s">
        <v>100</v>
      </c>
      <c r="B15" s="6" t="s">
        <v>93</v>
      </c>
      <c r="C15" s="6" t="s">
        <v>94</v>
      </c>
      <c r="D15" s="6" t="s">
        <v>47</v>
      </c>
      <c r="E15" s="6" t="s">
        <v>48</v>
      </c>
      <c r="F15" s="6" t="s">
        <v>88</v>
      </c>
      <c r="G15" s="6" t="s">
        <v>62</v>
      </c>
      <c r="H15" s="6" t="s">
        <v>51</v>
      </c>
      <c r="I15" s="7" t="n">
        <v>27.95</v>
      </c>
      <c r="J15" s="8" t="n">
        <v>899.2</v>
      </c>
      <c r="K15" s="7" t="n">
        <v>19.91</v>
      </c>
      <c r="L15" s="7" t="n">
        <v>17902.89</v>
      </c>
      <c r="M15" s="6" t="s">
        <v>101</v>
      </c>
    </row>
    <row r="16" customFormat="false" ht="15" hidden="false" customHeight="false" outlineLevel="0" collapsed="false">
      <c r="A16" s="6" t="s">
        <v>102</v>
      </c>
      <c r="B16" s="6" t="s">
        <v>103</v>
      </c>
      <c r="C16" s="6" t="s">
        <v>104</v>
      </c>
      <c r="D16" s="6" t="s">
        <v>105</v>
      </c>
      <c r="E16" s="6" t="s">
        <v>48</v>
      </c>
      <c r="F16" s="6" t="s">
        <v>61</v>
      </c>
      <c r="G16" s="6" t="s">
        <v>106</v>
      </c>
      <c r="H16" s="6" t="s">
        <v>51</v>
      </c>
      <c r="I16" s="7" t="n">
        <v>38.03</v>
      </c>
      <c r="J16" s="8" t="n">
        <v>500</v>
      </c>
      <c r="K16" s="7" t="n">
        <v>23.49</v>
      </c>
      <c r="L16" s="7" t="n">
        <v>11745</v>
      </c>
      <c r="M16" s="6" t="s">
        <v>107</v>
      </c>
    </row>
    <row r="17" customFormat="false" ht="15" hidden="false" customHeight="false" outlineLevel="0" collapsed="false">
      <c r="A17" s="6" t="s">
        <v>108</v>
      </c>
      <c r="B17" s="6" t="s">
        <v>103</v>
      </c>
      <c r="C17" s="6" t="s">
        <v>104</v>
      </c>
      <c r="D17" s="6" t="s">
        <v>105</v>
      </c>
      <c r="E17" s="6" t="s">
        <v>48</v>
      </c>
      <c r="F17" s="6" t="s">
        <v>54</v>
      </c>
      <c r="G17" s="6" t="s">
        <v>106</v>
      </c>
      <c r="H17" s="6" t="s">
        <v>77</v>
      </c>
      <c r="I17" s="7" t="n">
        <v>10.76</v>
      </c>
      <c r="J17" s="8" t="n">
        <v>974.3</v>
      </c>
      <c r="K17" s="7" t="n">
        <v>6.99</v>
      </c>
      <c r="L17" s="7" t="n">
        <v>6810.42</v>
      </c>
      <c r="M17" s="6" t="s">
        <v>109</v>
      </c>
    </row>
    <row r="18" customFormat="false" ht="15" hidden="false" customHeight="false" outlineLevel="0" collapsed="false">
      <c r="A18" s="6" t="s">
        <v>110</v>
      </c>
      <c r="B18" s="6" t="s">
        <v>103</v>
      </c>
      <c r="C18" s="6" t="s">
        <v>104</v>
      </c>
      <c r="D18" s="6" t="s">
        <v>105</v>
      </c>
      <c r="E18" s="6" t="s">
        <v>48</v>
      </c>
      <c r="F18" s="6" t="s">
        <v>88</v>
      </c>
      <c r="G18" s="6" t="s">
        <v>62</v>
      </c>
      <c r="H18" s="6" t="s">
        <v>55</v>
      </c>
      <c r="I18" s="7" t="n">
        <v>29.96</v>
      </c>
      <c r="J18" s="8" t="n">
        <v>998.4</v>
      </c>
      <c r="K18" s="7" t="n">
        <v>23.59</v>
      </c>
      <c r="L18" s="7" t="n">
        <v>23551.46</v>
      </c>
      <c r="M18" s="6" t="s">
        <v>111</v>
      </c>
    </row>
    <row r="19" customFormat="false" ht="15" hidden="false" customHeight="false" outlineLevel="0" collapsed="false">
      <c r="A19" s="6" t="s">
        <v>112</v>
      </c>
      <c r="B19" s="6" t="s">
        <v>103</v>
      </c>
      <c r="C19" s="6" t="s">
        <v>104</v>
      </c>
      <c r="D19" s="6" t="s">
        <v>105</v>
      </c>
      <c r="E19" s="6" t="s">
        <v>48</v>
      </c>
      <c r="F19" s="6" t="s">
        <v>49</v>
      </c>
      <c r="G19" s="6" t="s">
        <v>66</v>
      </c>
      <c r="H19" s="6" t="s">
        <v>77</v>
      </c>
      <c r="I19" s="7" t="n">
        <v>27.9</v>
      </c>
      <c r="J19" s="8" t="n">
        <v>1123.4</v>
      </c>
      <c r="K19" s="7" t="n">
        <v>25.67</v>
      </c>
      <c r="L19" s="7" t="n">
        <v>28837.24</v>
      </c>
      <c r="M19" s="6" t="s">
        <v>113</v>
      </c>
    </row>
    <row r="20" customFormat="false" ht="15" hidden="false" customHeight="false" outlineLevel="0" collapsed="false">
      <c r="A20" s="6" t="s">
        <v>114</v>
      </c>
      <c r="B20" s="6" t="s">
        <v>103</v>
      </c>
      <c r="C20" s="6" t="s">
        <v>104</v>
      </c>
      <c r="D20" s="6" t="s">
        <v>105</v>
      </c>
      <c r="E20" s="6" t="s">
        <v>48</v>
      </c>
      <c r="F20" s="6" t="s">
        <v>61</v>
      </c>
      <c r="G20" s="6" t="s">
        <v>66</v>
      </c>
      <c r="H20" s="6" t="s">
        <v>51</v>
      </c>
      <c r="I20" s="7" t="n">
        <v>38.88</v>
      </c>
      <c r="J20" s="8" t="n">
        <v>875.1</v>
      </c>
      <c r="K20" s="7" t="n">
        <v>33.98</v>
      </c>
      <c r="L20" s="7" t="n">
        <v>29736.55</v>
      </c>
      <c r="M20" s="6" t="s">
        <v>115</v>
      </c>
    </row>
    <row r="21" customFormat="false" ht="15" hidden="false" customHeight="false" outlineLevel="0" collapsed="false">
      <c r="A21" s="6" t="s">
        <v>116</v>
      </c>
      <c r="B21" s="6" t="s">
        <v>103</v>
      </c>
      <c r="C21" s="6" t="s">
        <v>104</v>
      </c>
      <c r="D21" s="6" t="s">
        <v>105</v>
      </c>
      <c r="E21" s="6" t="s">
        <v>48</v>
      </c>
      <c r="F21" s="6" t="s">
        <v>88</v>
      </c>
      <c r="G21" s="6" t="s">
        <v>50</v>
      </c>
      <c r="H21" s="6" t="s">
        <v>55</v>
      </c>
      <c r="I21" s="7" t="n">
        <v>27.61</v>
      </c>
      <c r="J21" s="8" t="n">
        <v>715.5</v>
      </c>
      <c r="K21" s="7" t="n">
        <v>25.51</v>
      </c>
      <c r="L21" s="7" t="n">
        <v>18251.14</v>
      </c>
      <c r="M21" s="6" t="s">
        <v>117</v>
      </c>
    </row>
    <row r="22" customFormat="false" ht="15" hidden="false" customHeight="false" outlineLevel="0" collapsed="false">
      <c r="A22" s="6" t="s">
        <v>118</v>
      </c>
      <c r="B22" s="6" t="s">
        <v>103</v>
      </c>
      <c r="C22" s="6" t="s">
        <v>104</v>
      </c>
      <c r="D22" s="6" t="s">
        <v>105</v>
      </c>
      <c r="E22" s="6" t="s">
        <v>48</v>
      </c>
      <c r="F22" s="6" t="s">
        <v>88</v>
      </c>
      <c r="G22" s="6" t="s">
        <v>106</v>
      </c>
      <c r="H22" s="6" t="s">
        <v>51</v>
      </c>
      <c r="I22" s="7" t="n">
        <v>28.9</v>
      </c>
      <c r="J22" s="8" t="n">
        <v>587.8</v>
      </c>
      <c r="K22" s="7" t="n">
        <v>17.85</v>
      </c>
      <c r="L22" s="7" t="n">
        <v>10491.63</v>
      </c>
      <c r="M22" s="6" t="s">
        <v>119</v>
      </c>
    </row>
    <row r="23" customFormat="false" ht="15" hidden="false" customHeight="false" outlineLevel="0" collapsed="false">
      <c r="A23" s="6" t="s">
        <v>120</v>
      </c>
      <c r="B23" s="6" t="s">
        <v>103</v>
      </c>
      <c r="C23" s="6" t="s">
        <v>104</v>
      </c>
      <c r="D23" s="6" t="s">
        <v>105</v>
      </c>
      <c r="E23" s="6" t="s">
        <v>48</v>
      </c>
      <c r="F23" s="6" t="s">
        <v>61</v>
      </c>
      <c r="G23" s="6" t="s">
        <v>66</v>
      </c>
      <c r="H23" s="6" t="s">
        <v>55</v>
      </c>
      <c r="I23" s="7" t="n">
        <v>39.09</v>
      </c>
      <c r="J23" s="8" t="n">
        <v>755.5</v>
      </c>
      <c r="K23" s="7" t="n">
        <v>37.76</v>
      </c>
      <c r="L23" s="7" t="n">
        <v>28526.56</v>
      </c>
      <c r="M23" s="6" t="s">
        <v>121</v>
      </c>
    </row>
    <row r="24" customFormat="false" ht="15" hidden="false" customHeight="false" outlineLevel="0" collapsed="false">
      <c r="A24" s="6" t="s">
        <v>122</v>
      </c>
      <c r="B24" s="6" t="s">
        <v>123</v>
      </c>
      <c r="C24" s="6" t="s">
        <v>124</v>
      </c>
      <c r="D24" s="6" t="s">
        <v>105</v>
      </c>
      <c r="E24" s="6" t="s">
        <v>48</v>
      </c>
      <c r="F24" s="6" t="s">
        <v>65</v>
      </c>
      <c r="G24" s="6" t="s">
        <v>50</v>
      </c>
      <c r="H24" s="6" t="s">
        <v>51</v>
      </c>
      <c r="I24" s="7" t="n">
        <v>32.89</v>
      </c>
      <c r="J24" s="8" t="n">
        <v>966.4</v>
      </c>
      <c r="K24" s="7" t="n">
        <v>27.5</v>
      </c>
      <c r="L24" s="7" t="n">
        <v>26574.96</v>
      </c>
      <c r="M24" s="6" t="s">
        <v>125</v>
      </c>
    </row>
    <row r="25" customFormat="false" ht="15" hidden="false" customHeight="false" outlineLevel="0" collapsed="false">
      <c r="A25" s="6" t="s">
        <v>126</v>
      </c>
      <c r="B25" s="6" t="s">
        <v>123</v>
      </c>
      <c r="C25" s="6" t="s">
        <v>124</v>
      </c>
      <c r="D25" s="6" t="s">
        <v>105</v>
      </c>
      <c r="E25" s="6" t="s">
        <v>48</v>
      </c>
      <c r="F25" s="6" t="s">
        <v>54</v>
      </c>
      <c r="G25" s="6" t="s">
        <v>50</v>
      </c>
      <c r="H25" s="6" t="s">
        <v>51</v>
      </c>
      <c r="I25" s="7" t="n">
        <v>9.25</v>
      </c>
      <c r="J25" s="8" t="n">
        <v>344.1</v>
      </c>
      <c r="K25" s="7" t="n">
        <v>7.74</v>
      </c>
      <c r="L25" s="7" t="n">
        <v>2663.29</v>
      </c>
      <c r="M25" s="6" t="s">
        <v>127</v>
      </c>
    </row>
    <row r="26" customFormat="false" ht="15" hidden="false" customHeight="false" outlineLevel="0" collapsed="false">
      <c r="A26" s="6" t="s">
        <v>128</v>
      </c>
      <c r="B26" s="6" t="s">
        <v>123</v>
      </c>
      <c r="C26" s="6" t="s">
        <v>124</v>
      </c>
      <c r="D26" s="6" t="s">
        <v>105</v>
      </c>
      <c r="E26" s="6" t="s">
        <v>48</v>
      </c>
      <c r="F26" s="6" t="s">
        <v>88</v>
      </c>
      <c r="G26" s="6" t="s">
        <v>106</v>
      </c>
      <c r="H26" s="6" t="s">
        <v>55</v>
      </c>
      <c r="I26" s="7" t="n">
        <v>29.58</v>
      </c>
      <c r="J26" s="8" t="n">
        <v>635.9</v>
      </c>
      <c r="K26" s="7" t="n">
        <v>20.19</v>
      </c>
      <c r="L26" s="7" t="n">
        <v>12839.41</v>
      </c>
      <c r="M26" s="6" t="s">
        <v>129</v>
      </c>
    </row>
    <row r="27" customFormat="false" ht="15" hidden="false" customHeight="false" outlineLevel="0" collapsed="false">
      <c r="A27" s="6" t="s">
        <v>130</v>
      </c>
      <c r="B27" s="6" t="s">
        <v>123</v>
      </c>
      <c r="C27" s="6" t="s">
        <v>124</v>
      </c>
      <c r="D27" s="6" t="s">
        <v>105</v>
      </c>
      <c r="E27" s="6" t="s">
        <v>48</v>
      </c>
      <c r="F27" s="6" t="s">
        <v>54</v>
      </c>
      <c r="G27" s="6" t="s">
        <v>50</v>
      </c>
      <c r="H27" s="6" t="s">
        <v>55</v>
      </c>
      <c r="I27" s="7" t="n">
        <v>10.75</v>
      </c>
      <c r="J27" s="8" t="n">
        <v>618.2</v>
      </c>
      <c r="K27" s="7" t="n">
        <v>9.93</v>
      </c>
      <c r="L27" s="7" t="n">
        <v>6138.96</v>
      </c>
      <c r="M27" s="6" t="s">
        <v>131</v>
      </c>
    </row>
    <row r="28" customFormat="false" ht="15" hidden="false" customHeight="false" outlineLevel="0" collapsed="false">
      <c r="A28" s="6" t="s">
        <v>132</v>
      </c>
      <c r="B28" s="6" t="s">
        <v>133</v>
      </c>
      <c r="C28" s="6" t="s">
        <v>134</v>
      </c>
      <c r="D28" s="6" t="s">
        <v>60</v>
      </c>
      <c r="E28" s="6" t="s">
        <v>48</v>
      </c>
      <c r="F28" s="6" t="s">
        <v>54</v>
      </c>
      <c r="G28" s="6" t="s">
        <v>66</v>
      </c>
      <c r="H28" s="6" t="s">
        <v>55</v>
      </c>
      <c r="I28" s="7" t="n">
        <v>9.35</v>
      </c>
      <c r="J28" s="8" t="n">
        <v>1455.7</v>
      </c>
      <c r="K28" s="7" t="n">
        <v>9.04</v>
      </c>
      <c r="L28" s="7" t="n">
        <v>13159.84</v>
      </c>
      <c r="M28" s="6" t="s">
        <v>135</v>
      </c>
    </row>
    <row r="29" customFormat="false" ht="15" hidden="false" customHeight="false" outlineLevel="0" collapsed="false">
      <c r="A29" s="6" t="s">
        <v>136</v>
      </c>
      <c r="B29" s="6" t="s">
        <v>137</v>
      </c>
      <c r="C29" s="6" t="s">
        <v>138</v>
      </c>
      <c r="D29" s="6" t="s">
        <v>139</v>
      </c>
      <c r="E29" s="6" t="s">
        <v>48</v>
      </c>
      <c r="F29" s="6" t="s">
        <v>61</v>
      </c>
      <c r="G29" s="6" t="s">
        <v>62</v>
      </c>
      <c r="H29" s="6" t="s">
        <v>55</v>
      </c>
      <c r="I29" s="7" t="n">
        <v>39.17</v>
      </c>
      <c r="J29" s="8" t="n">
        <v>537.9</v>
      </c>
      <c r="K29" s="7" t="n">
        <v>30.85</v>
      </c>
      <c r="L29" s="7" t="n">
        <v>16593.99</v>
      </c>
      <c r="M29" s="6" t="s">
        <v>140</v>
      </c>
    </row>
    <row r="30" customFormat="false" ht="15" hidden="false" customHeight="false" outlineLevel="0" collapsed="false">
      <c r="A30" s="6" t="s">
        <v>141</v>
      </c>
      <c r="B30" s="6" t="s">
        <v>142</v>
      </c>
      <c r="C30" s="6" t="s">
        <v>143</v>
      </c>
      <c r="D30" s="6" t="s">
        <v>144</v>
      </c>
      <c r="E30" s="6" t="s">
        <v>48</v>
      </c>
      <c r="F30" s="6" t="s">
        <v>88</v>
      </c>
      <c r="G30" s="6" t="s">
        <v>50</v>
      </c>
      <c r="H30" s="6" t="s">
        <v>51</v>
      </c>
      <c r="I30" s="7" t="n">
        <v>28.41</v>
      </c>
      <c r="J30" s="8" t="n">
        <v>713.9</v>
      </c>
      <c r="K30" s="7" t="n">
        <v>23.75</v>
      </c>
      <c r="L30" s="7" t="n">
        <v>16953.98</v>
      </c>
      <c r="M30" s="6" t="s">
        <v>145</v>
      </c>
    </row>
    <row r="31" customFormat="false" ht="15" hidden="false" customHeight="false" outlineLevel="0" collapsed="false">
      <c r="A31" s="6" t="s">
        <v>146</v>
      </c>
      <c r="B31" s="6" t="s">
        <v>142</v>
      </c>
      <c r="C31" s="6" t="s">
        <v>143</v>
      </c>
      <c r="D31" s="6" t="s">
        <v>144</v>
      </c>
      <c r="E31" s="6" t="s">
        <v>48</v>
      </c>
      <c r="F31" s="6" t="s">
        <v>65</v>
      </c>
      <c r="G31" s="6" t="s">
        <v>147</v>
      </c>
      <c r="H31" s="6" t="s">
        <v>77</v>
      </c>
      <c r="I31" s="7" t="n">
        <v>32.74</v>
      </c>
      <c r="J31" s="8" t="n">
        <v>794</v>
      </c>
      <c r="K31" s="7" t="n">
        <v>31.11</v>
      </c>
      <c r="L31" s="7" t="n">
        <v>24702.59</v>
      </c>
      <c r="M31" s="6" t="s">
        <v>148</v>
      </c>
    </row>
    <row r="32" customFormat="false" ht="15" hidden="false" customHeight="false" outlineLevel="0" collapsed="false">
      <c r="A32" s="6" t="s">
        <v>149</v>
      </c>
      <c r="B32" s="6" t="s">
        <v>142</v>
      </c>
      <c r="C32" s="6" t="s">
        <v>143</v>
      </c>
      <c r="D32" s="6" t="s">
        <v>144</v>
      </c>
      <c r="E32" s="6" t="s">
        <v>48</v>
      </c>
      <c r="F32" s="6" t="s">
        <v>61</v>
      </c>
      <c r="G32" s="6" t="s">
        <v>147</v>
      </c>
      <c r="H32" s="6" t="s">
        <v>51</v>
      </c>
      <c r="I32" s="7" t="n">
        <v>39.43</v>
      </c>
      <c r="J32" s="8" t="n">
        <v>500</v>
      </c>
      <c r="K32" s="7" t="n">
        <v>35.59</v>
      </c>
      <c r="L32" s="7" t="n">
        <v>17795</v>
      </c>
      <c r="M32" s="6" t="s">
        <v>150</v>
      </c>
    </row>
    <row r="33" customFormat="false" ht="15" hidden="false" customHeight="false" outlineLevel="0" collapsed="false">
      <c r="A33" s="6" t="s">
        <v>151</v>
      </c>
      <c r="B33" s="6" t="s">
        <v>142</v>
      </c>
      <c r="C33" s="6" t="s">
        <v>143</v>
      </c>
      <c r="D33" s="6" t="s">
        <v>144</v>
      </c>
      <c r="E33" s="6" t="s">
        <v>48</v>
      </c>
      <c r="F33" s="6" t="s">
        <v>49</v>
      </c>
      <c r="G33" s="6" t="s">
        <v>50</v>
      </c>
      <c r="H33" s="6" t="s">
        <v>77</v>
      </c>
      <c r="I33" s="7" t="n">
        <v>28.61</v>
      </c>
      <c r="J33" s="8" t="n">
        <v>424.6</v>
      </c>
      <c r="K33" s="7" t="n">
        <v>25.18</v>
      </c>
      <c r="L33" s="7" t="n">
        <v>10691</v>
      </c>
      <c r="M33" s="6" t="s">
        <v>152</v>
      </c>
    </row>
    <row r="34" customFormat="false" ht="15" hidden="false" customHeight="false" outlineLevel="0" collapsed="false">
      <c r="A34" s="6" t="s">
        <v>153</v>
      </c>
      <c r="B34" s="6" t="s">
        <v>142</v>
      </c>
      <c r="C34" s="6" t="s">
        <v>143</v>
      </c>
      <c r="D34" s="6" t="s">
        <v>144</v>
      </c>
      <c r="E34" s="6" t="s">
        <v>48</v>
      </c>
      <c r="F34" s="6" t="s">
        <v>61</v>
      </c>
      <c r="G34" s="6" t="s">
        <v>50</v>
      </c>
      <c r="H34" s="6" t="s">
        <v>77</v>
      </c>
      <c r="I34" s="7" t="n">
        <v>37.6</v>
      </c>
      <c r="J34" s="8" t="n">
        <v>665.6</v>
      </c>
      <c r="K34" s="7" t="n">
        <v>33.08</v>
      </c>
      <c r="L34" s="7" t="n">
        <v>22016.57</v>
      </c>
      <c r="M34" s="6" t="s">
        <v>154</v>
      </c>
    </row>
    <row r="35" customFormat="false" ht="15" hidden="false" customHeight="false" outlineLevel="0" collapsed="false">
      <c r="A35" s="6" t="s">
        <v>155</v>
      </c>
      <c r="B35" s="6" t="s">
        <v>142</v>
      </c>
      <c r="C35" s="6" t="s">
        <v>143</v>
      </c>
      <c r="D35" s="6" t="s">
        <v>144</v>
      </c>
      <c r="E35" s="6" t="s">
        <v>48</v>
      </c>
      <c r="F35" s="6" t="s">
        <v>65</v>
      </c>
      <c r="G35" s="6" t="s">
        <v>147</v>
      </c>
      <c r="H35" s="6" t="s">
        <v>55</v>
      </c>
      <c r="I35" s="7" t="n">
        <v>31.87</v>
      </c>
      <c r="J35" s="8" t="n">
        <v>477.3</v>
      </c>
      <c r="K35" s="7" t="n">
        <v>31.79</v>
      </c>
      <c r="L35" s="7" t="n">
        <v>15173.92</v>
      </c>
      <c r="M35" s="6" t="s">
        <v>156</v>
      </c>
    </row>
    <row r="36" customFormat="false" ht="15" hidden="false" customHeight="false" outlineLevel="0" collapsed="false">
      <c r="A36" s="6" t="s">
        <v>157</v>
      </c>
      <c r="B36" s="6" t="s">
        <v>142</v>
      </c>
      <c r="C36" s="6" t="s">
        <v>143</v>
      </c>
      <c r="D36" s="6" t="s">
        <v>144</v>
      </c>
      <c r="E36" s="6" t="s">
        <v>48</v>
      </c>
      <c r="F36" s="6" t="s">
        <v>61</v>
      </c>
      <c r="G36" s="6" t="s">
        <v>147</v>
      </c>
      <c r="H36" s="6" t="s">
        <v>55</v>
      </c>
      <c r="I36" s="7" t="n">
        <v>37.5</v>
      </c>
      <c r="J36" s="8" t="n">
        <v>500</v>
      </c>
      <c r="K36" s="7" t="n">
        <v>37.41</v>
      </c>
      <c r="L36" s="7" t="n">
        <v>18705</v>
      </c>
      <c r="M36" s="6" t="s">
        <v>158</v>
      </c>
    </row>
    <row r="37" customFormat="false" ht="15" hidden="false" customHeight="false" outlineLevel="0" collapsed="false">
      <c r="A37" s="6" t="s">
        <v>159</v>
      </c>
      <c r="B37" s="6" t="s">
        <v>142</v>
      </c>
      <c r="C37" s="6" t="s">
        <v>143</v>
      </c>
      <c r="D37" s="6" t="s">
        <v>144</v>
      </c>
      <c r="E37" s="6" t="s">
        <v>48</v>
      </c>
      <c r="F37" s="6" t="s">
        <v>54</v>
      </c>
      <c r="G37" s="6" t="s">
        <v>50</v>
      </c>
      <c r="H37" s="6" t="s">
        <v>51</v>
      </c>
      <c r="I37" s="7" t="n">
        <v>10.33</v>
      </c>
      <c r="J37" s="8" t="n">
        <v>718.3</v>
      </c>
      <c r="K37" s="7" t="n">
        <v>8.63</v>
      </c>
      <c r="L37" s="7" t="n">
        <v>6199.29</v>
      </c>
      <c r="M37" s="6" t="s">
        <v>160</v>
      </c>
    </row>
    <row r="38" customFormat="false" ht="15" hidden="false" customHeight="false" outlineLevel="0" collapsed="false">
      <c r="A38" s="6" t="s">
        <v>161</v>
      </c>
      <c r="B38" s="6" t="s">
        <v>142</v>
      </c>
      <c r="C38" s="6" t="s">
        <v>143</v>
      </c>
      <c r="D38" s="6" t="s">
        <v>144</v>
      </c>
      <c r="E38" s="6" t="s">
        <v>48</v>
      </c>
      <c r="F38" s="6" t="s">
        <v>49</v>
      </c>
      <c r="G38" s="6" t="s">
        <v>62</v>
      </c>
      <c r="H38" s="6" t="s">
        <v>51</v>
      </c>
      <c r="I38" s="7" t="n">
        <v>27.93</v>
      </c>
      <c r="J38" s="8" t="n">
        <v>440.4</v>
      </c>
      <c r="K38" s="7" t="n">
        <v>19.9</v>
      </c>
      <c r="L38" s="7" t="n">
        <v>8764.57</v>
      </c>
      <c r="M38" s="6" t="s">
        <v>162</v>
      </c>
    </row>
    <row r="39" customFormat="false" ht="15" hidden="false" customHeight="false" outlineLevel="0" collapsed="false">
      <c r="A39" s="6" t="s">
        <v>163</v>
      </c>
      <c r="B39" s="6" t="s">
        <v>164</v>
      </c>
      <c r="C39" s="6" t="s">
        <v>165</v>
      </c>
      <c r="D39" s="6" t="s">
        <v>166</v>
      </c>
      <c r="E39" s="6" t="s">
        <v>48</v>
      </c>
      <c r="F39" s="6" t="s">
        <v>88</v>
      </c>
      <c r="G39" s="6" t="s">
        <v>66</v>
      </c>
      <c r="H39" s="6" t="s">
        <v>55</v>
      </c>
      <c r="I39" s="7" t="n">
        <v>29.82</v>
      </c>
      <c r="J39" s="8" t="n">
        <v>467.1</v>
      </c>
      <c r="K39" s="7" t="n">
        <v>28.81</v>
      </c>
      <c r="L39" s="7" t="n">
        <v>13458.4</v>
      </c>
      <c r="M39" s="6" t="s">
        <v>167</v>
      </c>
    </row>
    <row r="40" customFormat="false" ht="15" hidden="false" customHeight="false" outlineLevel="0" collapsed="false">
      <c r="A40" s="6" t="s">
        <v>168</v>
      </c>
      <c r="B40" s="6" t="s">
        <v>164</v>
      </c>
      <c r="C40" s="6" t="s">
        <v>165</v>
      </c>
      <c r="D40" s="6" t="s">
        <v>166</v>
      </c>
      <c r="E40" s="6" t="s">
        <v>48</v>
      </c>
      <c r="F40" s="6" t="s">
        <v>54</v>
      </c>
      <c r="G40" s="6" t="s">
        <v>50</v>
      </c>
      <c r="H40" s="6" t="s">
        <v>51</v>
      </c>
      <c r="I40" s="7" t="n">
        <v>10.1</v>
      </c>
      <c r="J40" s="8" t="n">
        <v>672.9</v>
      </c>
      <c r="K40" s="7" t="n">
        <v>8.44</v>
      </c>
      <c r="L40" s="7" t="n">
        <v>5679.16</v>
      </c>
      <c r="M40" s="6" t="s">
        <v>169</v>
      </c>
    </row>
    <row r="41" customFormat="false" ht="15" hidden="false" customHeight="false" outlineLevel="0" collapsed="false">
      <c r="A41" s="6" t="s">
        <v>170</v>
      </c>
      <c r="B41" s="6" t="s">
        <v>164</v>
      </c>
      <c r="C41" s="6" t="s">
        <v>165</v>
      </c>
      <c r="D41" s="6" t="s">
        <v>166</v>
      </c>
      <c r="E41" s="6" t="s">
        <v>48</v>
      </c>
      <c r="F41" s="6" t="s">
        <v>88</v>
      </c>
      <c r="G41" s="6" t="s">
        <v>50</v>
      </c>
      <c r="H41" s="6" t="s">
        <v>55</v>
      </c>
      <c r="I41" s="7" t="n">
        <v>28.39</v>
      </c>
      <c r="J41" s="8" t="n">
        <v>544.9</v>
      </c>
      <c r="K41" s="7" t="n">
        <v>26.24</v>
      </c>
      <c r="L41" s="7" t="n">
        <v>14298.81</v>
      </c>
      <c r="M41" s="6" t="s">
        <v>171</v>
      </c>
    </row>
    <row r="42" customFormat="false" ht="15" hidden="false" customHeight="false" outlineLevel="0" collapsed="false">
      <c r="A42" s="6" t="s">
        <v>172</v>
      </c>
      <c r="B42" s="6" t="s">
        <v>164</v>
      </c>
      <c r="C42" s="6" t="s">
        <v>165</v>
      </c>
      <c r="D42" s="6" t="s">
        <v>166</v>
      </c>
      <c r="E42" s="6" t="s">
        <v>48</v>
      </c>
      <c r="F42" s="6" t="s">
        <v>54</v>
      </c>
      <c r="G42" s="6" t="s">
        <v>50</v>
      </c>
      <c r="H42" s="6" t="s">
        <v>55</v>
      </c>
      <c r="I42" s="7" t="n">
        <v>10.92</v>
      </c>
      <c r="J42" s="8" t="n">
        <v>769.9</v>
      </c>
      <c r="K42" s="7" t="n">
        <v>10.09</v>
      </c>
      <c r="L42" s="7" t="n">
        <v>7767.98</v>
      </c>
      <c r="M42" s="6" t="s">
        <v>173</v>
      </c>
    </row>
    <row r="43" customFormat="false" ht="15" hidden="false" customHeight="false" outlineLevel="0" collapsed="false">
      <c r="A43" s="6" t="s">
        <v>174</v>
      </c>
      <c r="B43" s="6" t="s">
        <v>164</v>
      </c>
      <c r="C43" s="6" t="s">
        <v>165</v>
      </c>
      <c r="D43" s="6" t="s">
        <v>166</v>
      </c>
      <c r="E43" s="6" t="s">
        <v>48</v>
      </c>
      <c r="F43" s="6" t="s">
        <v>61</v>
      </c>
      <c r="G43" s="6" t="s">
        <v>50</v>
      </c>
      <c r="H43" s="6" t="s">
        <v>51</v>
      </c>
      <c r="I43" s="7" t="n">
        <v>39.88</v>
      </c>
      <c r="J43" s="8" t="n">
        <v>533</v>
      </c>
      <c r="K43" s="7" t="n">
        <v>33.34</v>
      </c>
      <c r="L43" s="7" t="n">
        <v>17771.22</v>
      </c>
      <c r="M43" s="6" t="s">
        <v>175</v>
      </c>
    </row>
    <row r="44" customFormat="false" ht="15" hidden="false" customHeight="false" outlineLevel="0" collapsed="false">
      <c r="A44" s="6" t="s">
        <v>176</v>
      </c>
      <c r="B44" s="6" t="s">
        <v>164</v>
      </c>
      <c r="C44" s="6" t="s">
        <v>165</v>
      </c>
      <c r="D44" s="6" t="s">
        <v>166</v>
      </c>
      <c r="E44" s="6" t="s">
        <v>48</v>
      </c>
      <c r="F44" s="6" t="s">
        <v>88</v>
      </c>
      <c r="G44" s="6" t="s">
        <v>147</v>
      </c>
      <c r="H44" s="6" t="s">
        <v>51</v>
      </c>
      <c r="I44" s="7" t="n">
        <v>27.07</v>
      </c>
      <c r="J44" s="8" t="n">
        <v>842.5</v>
      </c>
      <c r="K44" s="7" t="n">
        <v>24.43</v>
      </c>
      <c r="L44" s="7" t="n">
        <v>20582</v>
      </c>
      <c r="M44" s="6" t="s">
        <v>177</v>
      </c>
    </row>
    <row r="45" customFormat="false" ht="15" hidden="false" customHeight="false" outlineLevel="0" collapsed="false">
      <c r="A45" s="6" t="s">
        <v>178</v>
      </c>
      <c r="B45" s="6" t="s">
        <v>164</v>
      </c>
      <c r="C45" s="6" t="s">
        <v>165</v>
      </c>
      <c r="D45" s="6" t="s">
        <v>166</v>
      </c>
      <c r="E45" s="6" t="s">
        <v>48</v>
      </c>
      <c r="F45" s="6" t="s">
        <v>65</v>
      </c>
      <c r="G45" s="6" t="s">
        <v>50</v>
      </c>
      <c r="H45" s="6" t="s">
        <v>77</v>
      </c>
      <c r="I45" s="7" t="n">
        <v>32.15</v>
      </c>
      <c r="J45" s="8" t="n">
        <v>357</v>
      </c>
      <c r="K45" s="7" t="n">
        <v>28.29</v>
      </c>
      <c r="L45" s="7" t="n">
        <v>10099</v>
      </c>
      <c r="M45" s="6" t="s">
        <v>179</v>
      </c>
    </row>
    <row r="46" customFormat="false" ht="15" hidden="false" customHeight="false" outlineLevel="0" collapsed="false">
      <c r="A46" s="6" t="s">
        <v>180</v>
      </c>
      <c r="B46" s="6" t="s">
        <v>164</v>
      </c>
      <c r="C46" s="6" t="s">
        <v>165</v>
      </c>
      <c r="D46" s="6" t="s">
        <v>166</v>
      </c>
      <c r="E46" s="6" t="s">
        <v>48</v>
      </c>
      <c r="F46" s="6" t="s">
        <v>65</v>
      </c>
      <c r="G46" s="6" t="s">
        <v>50</v>
      </c>
      <c r="H46" s="6" t="s">
        <v>51</v>
      </c>
      <c r="I46" s="7" t="n">
        <v>32.31</v>
      </c>
      <c r="J46" s="8" t="n">
        <v>393.7</v>
      </c>
      <c r="K46" s="7" t="n">
        <v>27.01</v>
      </c>
      <c r="L46" s="7" t="n">
        <v>10634.74</v>
      </c>
      <c r="M46" s="6" t="s">
        <v>181</v>
      </c>
    </row>
    <row r="47" customFormat="false" ht="15" hidden="false" customHeight="false" outlineLevel="0" collapsed="false">
      <c r="A47" s="6" t="s">
        <v>182</v>
      </c>
      <c r="B47" s="6" t="s">
        <v>164</v>
      </c>
      <c r="C47" s="6" t="s">
        <v>165</v>
      </c>
      <c r="D47" s="6" t="s">
        <v>166</v>
      </c>
      <c r="E47" s="6" t="s">
        <v>48</v>
      </c>
      <c r="F47" s="6" t="s">
        <v>61</v>
      </c>
      <c r="G47" s="6" t="s">
        <v>62</v>
      </c>
      <c r="H47" s="6" t="s">
        <v>55</v>
      </c>
      <c r="I47" s="7" t="n">
        <v>38.66</v>
      </c>
      <c r="J47" s="8" t="n">
        <v>609.9</v>
      </c>
      <c r="K47" s="7" t="n">
        <v>30.45</v>
      </c>
      <c r="L47" s="7" t="n">
        <v>18572.05</v>
      </c>
      <c r="M47" s="6" t="s">
        <v>183</v>
      </c>
    </row>
    <row r="48" customFormat="false" ht="15" hidden="false" customHeight="false" outlineLevel="0" collapsed="false">
      <c r="A48" s="6" t="s">
        <v>184</v>
      </c>
      <c r="B48" s="6" t="s">
        <v>164</v>
      </c>
      <c r="C48" s="6" t="s">
        <v>165</v>
      </c>
      <c r="D48" s="6" t="s">
        <v>166</v>
      </c>
      <c r="E48" s="6" t="s">
        <v>48</v>
      </c>
      <c r="F48" s="6" t="s">
        <v>54</v>
      </c>
      <c r="G48" s="6" t="s">
        <v>106</v>
      </c>
      <c r="H48" s="6" t="s">
        <v>51</v>
      </c>
      <c r="I48" s="7" t="n">
        <v>9.27</v>
      </c>
      <c r="J48" s="8" t="n">
        <v>465.9</v>
      </c>
      <c r="K48" s="7" t="n">
        <v>5.72</v>
      </c>
      <c r="L48" s="7" t="n">
        <v>2665.04</v>
      </c>
      <c r="M48" s="6" t="s">
        <v>185</v>
      </c>
    </row>
    <row r="49" customFormat="false" ht="15" hidden="false" customHeight="false" outlineLevel="0" collapsed="false">
      <c r="A49" s="6" t="s">
        <v>186</v>
      </c>
      <c r="B49" s="6" t="s">
        <v>187</v>
      </c>
      <c r="C49" s="6" t="s">
        <v>188</v>
      </c>
      <c r="D49" s="6" t="s">
        <v>189</v>
      </c>
      <c r="E49" s="6" t="s">
        <v>48</v>
      </c>
      <c r="F49" s="6" t="s">
        <v>49</v>
      </c>
      <c r="G49" s="6" t="s">
        <v>147</v>
      </c>
      <c r="H49" s="6" t="s">
        <v>55</v>
      </c>
      <c r="I49" s="7" t="n">
        <v>28.33</v>
      </c>
      <c r="J49" s="8" t="n">
        <v>300</v>
      </c>
      <c r="K49" s="7" t="n">
        <v>28.26</v>
      </c>
      <c r="L49" s="7" t="n">
        <v>8478</v>
      </c>
      <c r="M49" s="6" t="s">
        <v>190</v>
      </c>
    </row>
    <row r="50" customFormat="false" ht="15" hidden="false" customHeight="false" outlineLevel="0" collapsed="false">
      <c r="A50" s="6" t="s">
        <v>191</v>
      </c>
      <c r="B50" s="6" t="s">
        <v>192</v>
      </c>
      <c r="C50" s="6" t="s">
        <v>193</v>
      </c>
      <c r="D50" s="6" t="s">
        <v>194</v>
      </c>
      <c r="E50" s="6" t="s">
        <v>48</v>
      </c>
      <c r="F50" s="6" t="s">
        <v>65</v>
      </c>
      <c r="G50" s="6" t="s">
        <v>106</v>
      </c>
      <c r="H50" s="6" t="s">
        <v>55</v>
      </c>
      <c r="I50" s="7" t="n">
        <v>31.95</v>
      </c>
      <c r="J50" s="8" t="n">
        <v>1784.4</v>
      </c>
      <c r="K50" s="7" t="n">
        <v>21.81</v>
      </c>
      <c r="L50" s="7" t="n">
        <v>38917.5</v>
      </c>
      <c r="M50" s="6" t="s">
        <v>195</v>
      </c>
    </row>
    <row r="51" customFormat="false" ht="15" hidden="false" customHeight="false" outlineLevel="0" collapsed="false">
      <c r="A51" s="6" t="s">
        <v>196</v>
      </c>
      <c r="B51" s="6" t="s">
        <v>192</v>
      </c>
      <c r="C51" s="6" t="s">
        <v>193</v>
      </c>
      <c r="D51" s="6" t="s">
        <v>194</v>
      </c>
      <c r="E51" s="6" t="s">
        <v>48</v>
      </c>
      <c r="F51" s="6" t="s">
        <v>54</v>
      </c>
      <c r="G51" s="6" t="s">
        <v>62</v>
      </c>
      <c r="H51" s="6" t="s">
        <v>55</v>
      </c>
      <c r="I51" s="7" t="n">
        <v>9.48</v>
      </c>
      <c r="J51" s="8" t="n">
        <v>1561.8</v>
      </c>
      <c r="K51" s="7" t="n">
        <v>7.46</v>
      </c>
      <c r="L51" s="7" t="n">
        <v>11650.84</v>
      </c>
      <c r="M51" s="6" t="s">
        <v>197</v>
      </c>
    </row>
    <row r="52" customFormat="false" ht="15" hidden="false" customHeight="false" outlineLevel="0" collapsed="false">
      <c r="A52" s="6" t="s">
        <v>198</v>
      </c>
      <c r="B52" s="6" t="s">
        <v>192</v>
      </c>
      <c r="C52" s="6" t="s">
        <v>193</v>
      </c>
      <c r="D52" s="6" t="s">
        <v>194</v>
      </c>
      <c r="E52" s="6" t="s">
        <v>48</v>
      </c>
      <c r="F52" s="6" t="s">
        <v>61</v>
      </c>
      <c r="G52" s="6" t="s">
        <v>62</v>
      </c>
      <c r="H52" s="6" t="s">
        <v>51</v>
      </c>
      <c r="I52" s="7" t="n">
        <v>38.34</v>
      </c>
      <c r="J52" s="8" t="n">
        <v>1100.4</v>
      </c>
      <c r="K52" s="7" t="n">
        <v>27.32</v>
      </c>
      <c r="L52" s="7" t="n">
        <v>30062.99</v>
      </c>
      <c r="M52" s="6" t="s">
        <v>199</v>
      </c>
    </row>
    <row r="53" customFormat="false" ht="15" hidden="false" customHeight="false" outlineLevel="0" collapsed="false">
      <c r="A53" s="6" t="s">
        <v>200</v>
      </c>
      <c r="B53" s="6" t="s">
        <v>192</v>
      </c>
      <c r="C53" s="6" t="s">
        <v>193</v>
      </c>
      <c r="D53" s="6" t="s">
        <v>194</v>
      </c>
      <c r="E53" s="6" t="s">
        <v>48</v>
      </c>
      <c r="F53" s="6" t="s">
        <v>61</v>
      </c>
      <c r="G53" s="6" t="s">
        <v>62</v>
      </c>
      <c r="H53" s="6" t="s">
        <v>55</v>
      </c>
      <c r="I53" s="7" t="n">
        <v>37.66</v>
      </c>
      <c r="J53" s="8" t="n">
        <v>1577</v>
      </c>
      <c r="K53" s="7" t="n">
        <v>29.66</v>
      </c>
      <c r="L53" s="7" t="n">
        <v>46774.09</v>
      </c>
      <c r="M53" s="6" t="s">
        <v>52</v>
      </c>
    </row>
    <row r="54" customFormat="false" ht="15" hidden="false" customHeight="false" outlineLevel="0" collapsed="false">
      <c r="A54" s="6" t="s">
        <v>201</v>
      </c>
      <c r="B54" s="6" t="s">
        <v>192</v>
      </c>
      <c r="C54" s="6" t="s">
        <v>193</v>
      </c>
      <c r="D54" s="6" t="s">
        <v>194</v>
      </c>
      <c r="E54" s="6" t="s">
        <v>48</v>
      </c>
      <c r="F54" s="6" t="s">
        <v>88</v>
      </c>
      <c r="G54" s="6" t="s">
        <v>50</v>
      </c>
      <c r="H54" s="6" t="s">
        <v>55</v>
      </c>
      <c r="I54" s="7" t="n">
        <v>27.62</v>
      </c>
      <c r="J54" s="8" t="n">
        <v>1612.7</v>
      </c>
      <c r="K54" s="7" t="n">
        <v>25.52</v>
      </c>
      <c r="L54" s="7" t="n">
        <v>41156.71</v>
      </c>
      <c r="M54" s="6" t="s">
        <v>202</v>
      </c>
    </row>
    <row r="55" customFormat="false" ht="15" hidden="false" customHeight="false" outlineLevel="0" collapsed="false">
      <c r="A55" s="6" t="s">
        <v>203</v>
      </c>
      <c r="B55" s="6" t="s">
        <v>192</v>
      </c>
      <c r="C55" s="6" t="s">
        <v>193</v>
      </c>
      <c r="D55" s="6" t="s">
        <v>194</v>
      </c>
      <c r="E55" s="6" t="s">
        <v>48</v>
      </c>
      <c r="F55" s="6" t="s">
        <v>65</v>
      </c>
      <c r="G55" s="6" t="s">
        <v>62</v>
      </c>
      <c r="H55" s="6" t="s">
        <v>77</v>
      </c>
      <c r="I55" s="7" t="n">
        <v>32.53</v>
      </c>
      <c r="J55" s="8" t="n">
        <v>1837</v>
      </c>
      <c r="K55" s="7" t="n">
        <v>24.4</v>
      </c>
      <c r="L55" s="7" t="n">
        <v>44823.79</v>
      </c>
      <c r="M55" s="6" t="s">
        <v>204</v>
      </c>
    </row>
    <row r="56" customFormat="false" ht="15" hidden="false" customHeight="false" outlineLevel="0" collapsed="false">
      <c r="A56" s="6" t="s">
        <v>205</v>
      </c>
      <c r="B56" s="6" t="s">
        <v>192</v>
      </c>
      <c r="C56" s="6" t="s">
        <v>193</v>
      </c>
      <c r="D56" s="6" t="s">
        <v>194</v>
      </c>
      <c r="E56" s="6" t="s">
        <v>48</v>
      </c>
      <c r="F56" s="6" t="s">
        <v>65</v>
      </c>
      <c r="G56" s="6" t="s">
        <v>66</v>
      </c>
      <c r="H56" s="6" t="s">
        <v>51</v>
      </c>
      <c r="I56" s="7" t="n">
        <v>32.51</v>
      </c>
      <c r="J56" s="8" t="n">
        <v>1073.5</v>
      </c>
      <c r="K56" s="7" t="n">
        <v>28.41</v>
      </c>
      <c r="L56" s="7" t="n">
        <v>30498.91</v>
      </c>
      <c r="M56" s="6" t="s">
        <v>206</v>
      </c>
    </row>
    <row r="57" customFormat="false" ht="15" hidden="false" customHeight="false" outlineLevel="0" collapsed="false">
      <c r="A57" s="6" t="s">
        <v>207</v>
      </c>
      <c r="B57" s="6" t="s">
        <v>192</v>
      </c>
      <c r="C57" s="6" t="s">
        <v>193</v>
      </c>
      <c r="D57" s="6" t="s">
        <v>194</v>
      </c>
      <c r="E57" s="6" t="s">
        <v>48</v>
      </c>
      <c r="F57" s="6" t="s">
        <v>49</v>
      </c>
      <c r="G57" s="6" t="s">
        <v>50</v>
      </c>
      <c r="H57" s="6" t="s">
        <v>51</v>
      </c>
      <c r="I57" s="7" t="n">
        <v>27.66</v>
      </c>
      <c r="J57" s="8" t="n">
        <v>1374.7</v>
      </c>
      <c r="K57" s="7" t="n">
        <v>23.12</v>
      </c>
      <c r="L57" s="7" t="n">
        <v>31783.57</v>
      </c>
      <c r="M57" s="6" t="s">
        <v>208</v>
      </c>
    </row>
    <row r="58" customFormat="false" ht="15" hidden="false" customHeight="false" outlineLevel="0" collapsed="false">
      <c r="A58" s="6" t="s">
        <v>209</v>
      </c>
      <c r="B58" s="6" t="s">
        <v>210</v>
      </c>
      <c r="C58" s="6" t="s">
        <v>211</v>
      </c>
      <c r="D58" s="6" t="s">
        <v>194</v>
      </c>
      <c r="E58" s="6" t="s">
        <v>48</v>
      </c>
      <c r="F58" s="6" t="s">
        <v>65</v>
      </c>
      <c r="G58" s="6" t="s">
        <v>62</v>
      </c>
      <c r="H58" s="6" t="s">
        <v>55</v>
      </c>
      <c r="I58" s="7" t="n">
        <v>31.33</v>
      </c>
      <c r="J58" s="8" t="n">
        <v>2161.9</v>
      </c>
      <c r="K58" s="7" t="n">
        <v>24.67</v>
      </c>
      <c r="L58" s="7" t="n">
        <v>53332.85</v>
      </c>
      <c r="M58" s="6" t="s">
        <v>212</v>
      </c>
    </row>
    <row r="59" customFormat="false" ht="15" hidden="false" customHeight="false" outlineLevel="0" collapsed="false">
      <c r="A59" s="6" t="s">
        <v>213</v>
      </c>
      <c r="B59" s="6" t="s">
        <v>214</v>
      </c>
      <c r="C59" s="6" t="s">
        <v>215</v>
      </c>
      <c r="D59" s="6" t="s">
        <v>194</v>
      </c>
      <c r="E59" s="6" t="s">
        <v>48</v>
      </c>
      <c r="F59" s="6" t="s">
        <v>54</v>
      </c>
      <c r="G59" s="6" t="s">
        <v>106</v>
      </c>
      <c r="H59" s="6" t="s">
        <v>55</v>
      </c>
      <c r="I59" s="7" t="n">
        <v>10.33</v>
      </c>
      <c r="J59" s="8" t="n">
        <v>1230.8</v>
      </c>
      <c r="K59" s="7" t="n">
        <v>7.05</v>
      </c>
      <c r="L59" s="7" t="n">
        <v>8677.44</v>
      </c>
      <c r="M59" s="6" t="s">
        <v>216</v>
      </c>
    </row>
    <row r="60" customFormat="false" ht="15" hidden="false" customHeight="false" outlineLevel="0" collapsed="false">
      <c r="A60" s="6" t="s">
        <v>217</v>
      </c>
      <c r="B60" s="6" t="s">
        <v>214</v>
      </c>
      <c r="C60" s="6" t="s">
        <v>215</v>
      </c>
      <c r="D60" s="6" t="s">
        <v>194</v>
      </c>
      <c r="E60" s="6" t="s">
        <v>48</v>
      </c>
      <c r="F60" s="6" t="s">
        <v>65</v>
      </c>
      <c r="G60" s="6" t="s">
        <v>66</v>
      </c>
      <c r="H60" s="6" t="s">
        <v>55</v>
      </c>
      <c r="I60" s="7" t="n">
        <v>31.1</v>
      </c>
      <c r="J60" s="8" t="n">
        <v>859.4</v>
      </c>
      <c r="K60" s="7" t="n">
        <v>30.04</v>
      </c>
      <c r="L60" s="7" t="n">
        <v>25815.68</v>
      </c>
      <c r="M60" s="6" t="s">
        <v>204</v>
      </c>
    </row>
    <row r="61" customFormat="false" ht="15" hidden="false" customHeight="false" outlineLevel="0" collapsed="false">
      <c r="A61" s="6" t="s">
        <v>218</v>
      </c>
      <c r="B61" s="6" t="s">
        <v>214</v>
      </c>
      <c r="C61" s="6" t="s">
        <v>215</v>
      </c>
      <c r="D61" s="6" t="s">
        <v>194</v>
      </c>
      <c r="E61" s="6" t="s">
        <v>48</v>
      </c>
      <c r="F61" s="6" t="s">
        <v>88</v>
      </c>
      <c r="G61" s="6" t="s">
        <v>62</v>
      </c>
      <c r="H61" s="6" t="s">
        <v>51</v>
      </c>
      <c r="I61" s="7" t="n">
        <v>29.26</v>
      </c>
      <c r="J61" s="8" t="n">
        <v>957</v>
      </c>
      <c r="K61" s="7" t="n">
        <v>20.84</v>
      </c>
      <c r="L61" s="7" t="n">
        <v>19943.38</v>
      </c>
      <c r="M61" s="6" t="s">
        <v>202</v>
      </c>
    </row>
    <row r="62" customFormat="false" ht="15" hidden="false" customHeight="false" outlineLevel="0" collapsed="false">
      <c r="A62" s="6" t="s">
        <v>219</v>
      </c>
      <c r="B62" s="6" t="s">
        <v>214</v>
      </c>
      <c r="C62" s="6" t="s">
        <v>215</v>
      </c>
      <c r="D62" s="6" t="s">
        <v>194</v>
      </c>
      <c r="E62" s="6" t="s">
        <v>48</v>
      </c>
      <c r="F62" s="6" t="s">
        <v>88</v>
      </c>
      <c r="G62" s="6" t="s">
        <v>62</v>
      </c>
      <c r="H62" s="6" t="s">
        <v>55</v>
      </c>
      <c r="I62" s="7" t="n">
        <v>29.25</v>
      </c>
      <c r="J62" s="8" t="n">
        <v>1132.9</v>
      </c>
      <c r="K62" s="7" t="n">
        <v>23.03</v>
      </c>
      <c r="L62" s="7" t="n">
        <v>26090.39</v>
      </c>
      <c r="M62" s="6" t="s">
        <v>220</v>
      </c>
    </row>
    <row r="63" customFormat="false" ht="15" hidden="false" customHeight="false" outlineLevel="0" collapsed="false">
      <c r="A63" s="6" t="s">
        <v>221</v>
      </c>
      <c r="B63" s="6" t="s">
        <v>214</v>
      </c>
      <c r="C63" s="6" t="s">
        <v>215</v>
      </c>
      <c r="D63" s="6" t="s">
        <v>194</v>
      </c>
      <c r="E63" s="6" t="s">
        <v>48</v>
      </c>
      <c r="F63" s="6" t="s">
        <v>88</v>
      </c>
      <c r="G63" s="6" t="s">
        <v>106</v>
      </c>
      <c r="H63" s="6" t="s">
        <v>51</v>
      </c>
      <c r="I63" s="7" t="n">
        <v>27.09</v>
      </c>
      <c r="J63" s="8" t="n">
        <v>916.1</v>
      </c>
      <c r="K63" s="7" t="n">
        <v>16.73</v>
      </c>
      <c r="L63" s="7" t="n">
        <v>15326.32</v>
      </c>
      <c r="M63" s="6" t="s">
        <v>222</v>
      </c>
    </row>
    <row r="64" customFormat="false" ht="15" hidden="false" customHeight="false" outlineLevel="0" collapsed="false">
      <c r="A64" s="6" t="s">
        <v>223</v>
      </c>
      <c r="B64" s="6" t="s">
        <v>214</v>
      </c>
      <c r="C64" s="6" t="s">
        <v>215</v>
      </c>
      <c r="D64" s="6" t="s">
        <v>194</v>
      </c>
      <c r="E64" s="6" t="s">
        <v>48</v>
      </c>
      <c r="F64" s="6" t="s">
        <v>54</v>
      </c>
      <c r="G64" s="6" t="s">
        <v>62</v>
      </c>
      <c r="H64" s="6" t="s">
        <v>55</v>
      </c>
      <c r="I64" s="7" t="n">
        <v>9.48</v>
      </c>
      <c r="J64" s="8" t="n">
        <v>1000.1</v>
      </c>
      <c r="K64" s="7" t="n">
        <v>7.46</v>
      </c>
      <c r="L64" s="7" t="n">
        <v>7460.93</v>
      </c>
      <c r="M64" s="6" t="s">
        <v>224</v>
      </c>
    </row>
    <row r="65" customFormat="false" ht="15" hidden="false" customHeight="false" outlineLevel="0" collapsed="false">
      <c r="A65" s="6" t="s">
        <v>225</v>
      </c>
      <c r="B65" s="6" t="s">
        <v>214</v>
      </c>
      <c r="C65" s="6" t="s">
        <v>215</v>
      </c>
      <c r="D65" s="6" t="s">
        <v>194</v>
      </c>
      <c r="E65" s="6" t="s">
        <v>48</v>
      </c>
      <c r="F65" s="6" t="s">
        <v>61</v>
      </c>
      <c r="G65" s="6" t="s">
        <v>62</v>
      </c>
      <c r="H65" s="6" t="s">
        <v>55</v>
      </c>
      <c r="I65" s="7" t="n">
        <v>37.92</v>
      </c>
      <c r="J65" s="8" t="n">
        <v>725.5</v>
      </c>
      <c r="K65" s="7" t="n">
        <v>29.86</v>
      </c>
      <c r="L65" s="7" t="n">
        <v>21663.61</v>
      </c>
      <c r="M65" s="6" t="s">
        <v>226</v>
      </c>
    </row>
    <row r="66" customFormat="false" ht="15" hidden="false" customHeight="false" outlineLevel="0" collapsed="false">
      <c r="A66" s="6" t="s">
        <v>227</v>
      </c>
      <c r="B66" s="6" t="s">
        <v>214</v>
      </c>
      <c r="C66" s="6" t="s">
        <v>215</v>
      </c>
      <c r="D66" s="6" t="s">
        <v>194</v>
      </c>
      <c r="E66" s="6" t="s">
        <v>48</v>
      </c>
      <c r="F66" s="6" t="s">
        <v>61</v>
      </c>
      <c r="G66" s="6" t="s">
        <v>62</v>
      </c>
      <c r="H66" s="6" t="s">
        <v>51</v>
      </c>
      <c r="I66" s="7" t="n">
        <v>38.28</v>
      </c>
      <c r="J66" s="8" t="n">
        <v>825.6</v>
      </c>
      <c r="K66" s="7" t="n">
        <v>27.27</v>
      </c>
      <c r="L66" s="7" t="n">
        <v>22515.39</v>
      </c>
      <c r="M66" s="6" t="s">
        <v>228</v>
      </c>
    </row>
    <row r="67" customFormat="false" ht="15" hidden="false" customHeight="false" outlineLevel="0" collapsed="false">
      <c r="A67" s="6" t="s">
        <v>229</v>
      </c>
      <c r="B67" s="6" t="s">
        <v>214</v>
      </c>
      <c r="C67" s="6" t="s">
        <v>215</v>
      </c>
      <c r="D67" s="6" t="s">
        <v>194</v>
      </c>
      <c r="E67" s="6" t="s">
        <v>48</v>
      </c>
      <c r="F67" s="6" t="s">
        <v>61</v>
      </c>
      <c r="G67" s="6" t="s">
        <v>106</v>
      </c>
      <c r="H67" s="6" t="s">
        <v>51</v>
      </c>
      <c r="I67" s="7" t="n">
        <v>39.85</v>
      </c>
      <c r="J67" s="8" t="n">
        <v>1218.5</v>
      </c>
      <c r="K67" s="7" t="n">
        <v>24.61</v>
      </c>
      <c r="L67" s="7" t="n">
        <v>29986.24</v>
      </c>
      <c r="M67" s="6" t="s">
        <v>230</v>
      </c>
    </row>
    <row r="68" customFormat="false" ht="15" hidden="false" customHeight="false" outlineLevel="0" collapsed="false">
      <c r="A68" s="6" t="s">
        <v>231</v>
      </c>
      <c r="B68" s="6" t="s">
        <v>214</v>
      </c>
      <c r="C68" s="6" t="s">
        <v>215</v>
      </c>
      <c r="D68" s="6" t="s">
        <v>194</v>
      </c>
      <c r="E68" s="6" t="s">
        <v>48</v>
      </c>
      <c r="F68" s="6" t="s">
        <v>61</v>
      </c>
      <c r="G68" s="6" t="s">
        <v>50</v>
      </c>
      <c r="H68" s="6" t="s">
        <v>77</v>
      </c>
      <c r="I68" s="7" t="n">
        <v>38.11</v>
      </c>
      <c r="J68" s="8" t="n">
        <v>747</v>
      </c>
      <c r="K68" s="7" t="n">
        <v>33.53</v>
      </c>
      <c r="L68" s="7" t="n">
        <v>25045.32</v>
      </c>
      <c r="M68" s="6" t="s">
        <v>179</v>
      </c>
    </row>
    <row r="69" customFormat="false" ht="15" hidden="false" customHeight="false" outlineLevel="0" collapsed="false">
      <c r="A69" s="6" t="s">
        <v>232</v>
      </c>
      <c r="B69" s="6" t="s">
        <v>214</v>
      </c>
      <c r="C69" s="6" t="s">
        <v>215</v>
      </c>
      <c r="D69" s="6" t="s">
        <v>194</v>
      </c>
      <c r="E69" s="6" t="s">
        <v>48</v>
      </c>
      <c r="F69" s="6" t="s">
        <v>88</v>
      </c>
      <c r="G69" s="6" t="s">
        <v>66</v>
      </c>
      <c r="H69" s="6" t="s">
        <v>77</v>
      </c>
      <c r="I69" s="7" t="n">
        <v>29.35</v>
      </c>
      <c r="J69" s="8" t="n">
        <v>1115.1</v>
      </c>
      <c r="K69" s="7" t="n">
        <v>27</v>
      </c>
      <c r="L69" s="7" t="n">
        <v>30108.14</v>
      </c>
      <c r="M69" s="6" t="s">
        <v>233</v>
      </c>
    </row>
    <row r="70" customFormat="false" ht="15" hidden="false" customHeight="false" outlineLevel="0" collapsed="false">
      <c r="A70" s="6" t="s">
        <v>234</v>
      </c>
      <c r="B70" s="6" t="s">
        <v>214</v>
      </c>
      <c r="C70" s="6" t="s">
        <v>215</v>
      </c>
      <c r="D70" s="6" t="s">
        <v>194</v>
      </c>
      <c r="E70" s="6" t="s">
        <v>48</v>
      </c>
      <c r="F70" s="6" t="s">
        <v>49</v>
      </c>
      <c r="G70" s="6" t="s">
        <v>50</v>
      </c>
      <c r="H70" s="6" t="s">
        <v>51</v>
      </c>
      <c r="I70" s="7" t="n">
        <v>28.52</v>
      </c>
      <c r="J70" s="8" t="n">
        <v>604.3</v>
      </c>
      <c r="K70" s="7" t="n">
        <v>23.84</v>
      </c>
      <c r="L70" s="7" t="n">
        <v>14406.96</v>
      </c>
      <c r="M70" s="6" t="s">
        <v>235</v>
      </c>
    </row>
    <row r="71" customFormat="false" ht="15" hidden="false" customHeight="false" outlineLevel="0" collapsed="false">
      <c r="A71" s="6" t="s">
        <v>236</v>
      </c>
      <c r="B71" s="6" t="s">
        <v>214</v>
      </c>
      <c r="C71" s="6" t="s">
        <v>215</v>
      </c>
      <c r="D71" s="6" t="s">
        <v>194</v>
      </c>
      <c r="E71" s="6" t="s">
        <v>48</v>
      </c>
      <c r="F71" s="6" t="s">
        <v>61</v>
      </c>
      <c r="G71" s="6" t="s">
        <v>66</v>
      </c>
      <c r="H71" s="6" t="s">
        <v>77</v>
      </c>
      <c r="I71" s="7" t="n">
        <v>39.09</v>
      </c>
      <c r="J71" s="8" t="n">
        <v>1193.5</v>
      </c>
      <c r="K71" s="7" t="n">
        <v>35.96</v>
      </c>
      <c r="L71" s="7" t="n">
        <v>42918.91</v>
      </c>
      <c r="M71" s="6" t="s">
        <v>237</v>
      </c>
    </row>
    <row r="72" customFormat="false" ht="15" hidden="false" customHeight="false" outlineLevel="0" collapsed="false">
      <c r="A72" s="6" t="s">
        <v>238</v>
      </c>
      <c r="B72" s="6" t="s">
        <v>214</v>
      </c>
      <c r="C72" s="6" t="s">
        <v>215</v>
      </c>
      <c r="D72" s="6" t="s">
        <v>194</v>
      </c>
      <c r="E72" s="6" t="s">
        <v>48</v>
      </c>
      <c r="F72" s="6" t="s">
        <v>54</v>
      </c>
      <c r="G72" s="6" t="s">
        <v>50</v>
      </c>
      <c r="H72" s="6" t="s">
        <v>55</v>
      </c>
      <c r="I72" s="7" t="n">
        <v>10.93</v>
      </c>
      <c r="J72" s="8" t="n">
        <v>493</v>
      </c>
      <c r="K72" s="7" t="n">
        <v>10.1</v>
      </c>
      <c r="L72" s="7" t="n">
        <v>4979.16</v>
      </c>
      <c r="M72" s="6" t="s">
        <v>239</v>
      </c>
    </row>
    <row r="73" customFormat="false" ht="15" hidden="false" customHeight="false" outlineLevel="0" collapsed="false">
      <c r="A73" s="6" t="s">
        <v>240</v>
      </c>
      <c r="B73" s="6" t="s">
        <v>214</v>
      </c>
      <c r="C73" s="6" t="s">
        <v>215</v>
      </c>
      <c r="D73" s="6" t="s">
        <v>194</v>
      </c>
      <c r="E73" s="6" t="s">
        <v>48</v>
      </c>
      <c r="F73" s="6" t="s">
        <v>49</v>
      </c>
      <c r="G73" s="6" t="s">
        <v>50</v>
      </c>
      <c r="H73" s="6" t="s">
        <v>55</v>
      </c>
      <c r="I73" s="7" t="n">
        <v>29.19</v>
      </c>
      <c r="J73" s="8" t="n">
        <v>1019.7</v>
      </c>
      <c r="K73" s="7" t="n">
        <v>26.97</v>
      </c>
      <c r="L73" s="7" t="n">
        <v>27500.11</v>
      </c>
      <c r="M73" s="6" t="s">
        <v>241</v>
      </c>
    </row>
    <row r="74" customFormat="false" ht="15" hidden="false" customHeight="false" outlineLevel="0" collapsed="false">
      <c r="A74" s="6" t="s">
        <v>242</v>
      </c>
      <c r="B74" s="6" t="s">
        <v>214</v>
      </c>
      <c r="C74" s="6" t="s">
        <v>215</v>
      </c>
      <c r="D74" s="6" t="s">
        <v>194</v>
      </c>
      <c r="E74" s="6" t="s">
        <v>48</v>
      </c>
      <c r="F74" s="6" t="s">
        <v>88</v>
      </c>
      <c r="G74" s="6" t="s">
        <v>106</v>
      </c>
      <c r="H74" s="6" t="s">
        <v>77</v>
      </c>
      <c r="I74" s="7" t="n">
        <v>27.26</v>
      </c>
      <c r="J74" s="8" t="n">
        <v>586.4</v>
      </c>
      <c r="K74" s="7" t="n">
        <v>17.72</v>
      </c>
      <c r="L74" s="7" t="n">
        <v>10390.43</v>
      </c>
      <c r="M74" s="6" t="s">
        <v>243</v>
      </c>
    </row>
    <row r="75" customFormat="false" ht="15" hidden="false" customHeight="false" outlineLevel="0" collapsed="false">
      <c r="A75" s="6" t="s">
        <v>244</v>
      </c>
      <c r="B75" s="6" t="s">
        <v>214</v>
      </c>
      <c r="C75" s="6" t="s">
        <v>215</v>
      </c>
      <c r="D75" s="6" t="s">
        <v>194</v>
      </c>
      <c r="E75" s="6" t="s">
        <v>48</v>
      </c>
      <c r="F75" s="6" t="s">
        <v>54</v>
      </c>
      <c r="G75" s="6" t="s">
        <v>62</v>
      </c>
      <c r="H75" s="6" t="s">
        <v>51</v>
      </c>
      <c r="I75" s="7" t="n">
        <v>9.99</v>
      </c>
      <c r="J75" s="8" t="n">
        <v>900.7</v>
      </c>
      <c r="K75" s="7" t="n">
        <v>7.12</v>
      </c>
      <c r="L75" s="7" t="n">
        <v>6413.24</v>
      </c>
      <c r="M75" s="6" t="s">
        <v>245</v>
      </c>
    </row>
    <row r="76" customFormat="false" ht="15" hidden="false" customHeight="false" outlineLevel="0" collapsed="false">
      <c r="A76" s="6" t="s">
        <v>246</v>
      </c>
      <c r="B76" s="6" t="s">
        <v>214</v>
      </c>
      <c r="C76" s="6" t="s">
        <v>215</v>
      </c>
      <c r="D76" s="6" t="s">
        <v>194</v>
      </c>
      <c r="E76" s="6" t="s">
        <v>48</v>
      </c>
      <c r="F76" s="6" t="s">
        <v>54</v>
      </c>
      <c r="G76" s="6" t="s">
        <v>50</v>
      </c>
      <c r="H76" s="6" t="s">
        <v>51</v>
      </c>
      <c r="I76" s="7" t="n">
        <v>9.52</v>
      </c>
      <c r="J76" s="8" t="n">
        <v>549.1</v>
      </c>
      <c r="K76" s="7" t="n">
        <v>7.96</v>
      </c>
      <c r="L76" s="7" t="n">
        <v>4370.81</v>
      </c>
      <c r="M76" s="6" t="s">
        <v>247</v>
      </c>
    </row>
    <row r="77" customFormat="false" ht="15" hidden="false" customHeight="false" outlineLevel="0" collapsed="false">
      <c r="A77" s="6" t="s">
        <v>248</v>
      </c>
      <c r="B77" s="6" t="s">
        <v>214</v>
      </c>
      <c r="C77" s="6" t="s">
        <v>215</v>
      </c>
      <c r="D77" s="6" t="s">
        <v>194</v>
      </c>
      <c r="E77" s="6" t="s">
        <v>48</v>
      </c>
      <c r="F77" s="6" t="s">
        <v>49</v>
      </c>
      <c r="G77" s="6" t="s">
        <v>66</v>
      </c>
      <c r="H77" s="6" t="s">
        <v>77</v>
      </c>
      <c r="I77" s="7" t="n">
        <v>27.26</v>
      </c>
      <c r="J77" s="8" t="n">
        <v>834.2</v>
      </c>
      <c r="K77" s="7" t="n">
        <v>25.08</v>
      </c>
      <c r="L77" s="7" t="n">
        <v>20920.54</v>
      </c>
      <c r="M77" s="6" t="s">
        <v>52</v>
      </c>
    </row>
    <row r="78" customFormat="false" ht="15" hidden="false" customHeight="false" outlineLevel="0" collapsed="false">
      <c r="A78" s="6" t="s">
        <v>249</v>
      </c>
      <c r="B78" s="6" t="s">
        <v>214</v>
      </c>
      <c r="C78" s="6" t="s">
        <v>215</v>
      </c>
      <c r="D78" s="6" t="s">
        <v>194</v>
      </c>
      <c r="E78" s="6" t="s">
        <v>48</v>
      </c>
      <c r="F78" s="6" t="s">
        <v>65</v>
      </c>
      <c r="G78" s="6" t="s">
        <v>50</v>
      </c>
      <c r="H78" s="6" t="s">
        <v>51</v>
      </c>
      <c r="I78" s="7" t="n">
        <v>31.95</v>
      </c>
      <c r="J78" s="8" t="n">
        <v>692.8</v>
      </c>
      <c r="K78" s="7" t="n">
        <v>26.71</v>
      </c>
      <c r="L78" s="7" t="n">
        <v>18503.87</v>
      </c>
      <c r="M78" s="6" t="s">
        <v>250</v>
      </c>
    </row>
    <row r="79" customFormat="false" ht="15" hidden="false" customHeight="false" outlineLevel="0" collapsed="false">
      <c r="A79" s="6" t="s">
        <v>251</v>
      </c>
      <c r="B79" s="6" t="s">
        <v>214</v>
      </c>
      <c r="C79" s="6" t="s">
        <v>215</v>
      </c>
      <c r="D79" s="6" t="s">
        <v>194</v>
      </c>
      <c r="E79" s="6" t="s">
        <v>48</v>
      </c>
      <c r="F79" s="6" t="s">
        <v>65</v>
      </c>
      <c r="G79" s="6" t="s">
        <v>147</v>
      </c>
      <c r="H79" s="6" t="s">
        <v>55</v>
      </c>
      <c r="I79" s="7" t="n">
        <v>31.49</v>
      </c>
      <c r="J79" s="8" t="n">
        <v>852</v>
      </c>
      <c r="K79" s="7" t="n">
        <v>31.41</v>
      </c>
      <c r="L79" s="7" t="n">
        <v>26761.03</v>
      </c>
      <c r="M79" s="6" t="s">
        <v>113</v>
      </c>
    </row>
    <row r="80" customFormat="false" ht="15" hidden="false" customHeight="false" outlineLevel="0" collapsed="false">
      <c r="A80" s="6" t="s">
        <v>252</v>
      </c>
      <c r="B80" s="6" t="s">
        <v>214</v>
      </c>
      <c r="C80" s="6" t="s">
        <v>215</v>
      </c>
      <c r="D80" s="6" t="s">
        <v>194</v>
      </c>
      <c r="E80" s="6" t="s">
        <v>48</v>
      </c>
      <c r="F80" s="6" t="s">
        <v>49</v>
      </c>
      <c r="G80" s="6" t="s">
        <v>50</v>
      </c>
      <c r="H80" s="6" t="s">
        <v>55</v>
      </c>
      <c r="I80" s="7" t="n">
        <v>28.03</v>
      </c>
      <c r="J80" s="8" t="n">
        <v>915.8</v>
      </c>
      <c r="K80" s="7" t="n">
        <v>25.9</v>
      </c>
      <c r="L80" s="7" t="n">
        <v>23718.98</v>
      </c>
      <c r="M80" s="6" t="s">
        <v>253</v>
      </c>
    </row>
    <row r="81" customFormat="false" ht="15" hidden="false" customHeight="false" outlineLevel="0" collapsed="false">
      <c r="A81" s="6" t="s">
        <v>254</v>
      </c>
      <c r="B81" s="6" t="s">
        <v>255</v>
      </c>
      <c r="C81" s="6" t="s">
        <v>256</v>
      </c>
      <c r="D81" s="6" t="s">
        <v>144</v>
      </c>
      <c r="E81" s="6" t="s">
        <v>48</v>
      </c>
      <c r="F81" s="6" t="s">
        <v>88</v>
      </c>
      <c r="G81" s="6" t="s">
        <v>147</v>
      </c>
      <c r="H81" s="6" t="s">
        <v>51</v>
      </c>
      <c r="I81" s="7" t="n">
        <v>29.16</v>
      </c>
      <c r="J81" s="8" t="n">
        <v>1449.6</v>
      </c>
      <c r="K81" s="7" t="n">
        <v>26.32</v>
      </c>
      <c r="L81" s="7" t="n">
        <v>38154.4</v>
      </c>
      <c r="M81" s="6" t="s">
        <v>257</v>
      </c>
    </row>
    <row r="82" customFormat="false" ht="15" hidden="false" customHeight="false" outlineLevel="0" collapsed="false">
      <c r="A82" s="6" t="s">
        <v>258</v>
      </c>
      <c r="B82" s="6" t="s">
        <v>255</v>
      </c>
      <c r="C82" s="6" t="s">
        <v>256</v>
      </c>
      <c r="D82" s="6" t="s">
        <v>144</v>
      </c>
      <c r="E82" s="6" t="s">
        <v>48</v>
      </c>
      <c r="F82" s="6" t="s">
        <v>61</v>
      </c>
      <c r="G82" s="6" t="s">
        <v>62</v>
      </c>
      <c r="H82" s="6" t="s">
        <v>51</v>
      </c>
      <c r="I82" s="7" t="n">
        <v>39.35</v>
      </c>
      <c r="J82" s="8" t="n">
        <v>995.4</v>
      </c>
      <c r="K82" s="7" t="n">
        <v>28.03</v>
      </c>
      <c r="L82" s="7" t="n">
        <v>27899.84</v>
      </c>
      <c r="M82" s="6" t="s">
        <v>119</v>
      </c>
    </row>
    <row r="83" customFormat="false" ht="15" hidden="false" customHeight="false" outlineLevel="0" collapsed="false">
      <c r="A83" s="6" t="s">
        <v>259</v>
      </c>
      <c r="B83" s="6" t="s">
        <v>255</v>
      </c>
      <c r="C83" s="6" t="s">
        <v>256</v>
      </c>
      <c r="D83" s="6" t="s">
        <v>144</v>
      </c>
      <c r="E83" s="6" t="s">
        <v>48</v>
      </c>
      <c r="F83" s="6" t="s">
        <v>49</v>
      </c>
      <c r="G83" s="6" t="s">
        <v>106</v>
      </c>
      <c r="H83" s="6" t="s">
        <v>55</v>
      </c>
      <c r="I83" s="7" t="n">
        <v>27.85</v>
      </c>
      <c r="J83" s="8" t="n">
        <v>300</v>
      </c>
      <c r="K83" s="7" t="n">
        <v>19.01</v>
      </c>
      <c r="L83" s="7" t="n">
        <v>5703</v>
      </c>
      <c r="M83" s="6" t="s">
        <v>260</v>
      </c>
    </row>
    <row r="84" customFormat="false" ht="15" hidden="false" customHeight="false" outlineLevel="0" collapsed="false">
      <c r="A84" s="6" t="s">
        <v>261</v>
      </c>
      <c r="B84" s="6" t="s">
        <v>255</v>
      </c>
      <c r="C84" s="6" t="s">
        <v>256</v>
      </c>
      <c r="D84" s="6" t="s">
        <v>144</v>
      </c>
      <c r="E84" s="6" t="s">
        <v>48</v>
      </c>
      <c r="F84" s="6" t="s">
        <v>54</v>
      </c>
      <c r="G84" s="6" t="s">
        <v>147</v>
      </c>
      <c r="H84" s="6" t="s">
        <v>55</v>
      </c>
      <c r="I84" s="7" t="n">
        <v>9.25</v>
      </c>
      <c r="J84" s="8" t="n">
        <v>945.5</v>
      </c>
      <c r="K84" s="7" t="n">
        <v>9.23</v>
      </c>
      <c r="L84" s="7" t="n">
        <v>8727.37</v>
      </c>
      <c r="M84" s="6" t="s">
        <v>262</v>
      </c>
    </row>
    <row r="85" customFormat="false" ht="15" hidden="false" customHeight="false" outlineLevel="0" collapsed="false">
      <c r="A85" s="6" t="s">
        <v>263</v>
      </c>
      <c r="B85" s="6" t="s">
        <v>255</v>
      </c>
      <c r="C85" s="6" t="s">
        <v>256</v>
      </c>
      <c r="D85" s="6" t="s">
        <v>144</v>
      </c>
      <c r="E85" s="6" t="s">
        <v>48</v>
      </c>
      <c r="F85" s="6" t="s">
        <v>61</v>
      </c>
      <c r="G85" s="6" t="s">
        <v>50</v>
      </c>
      <c r="H85" s="6" t="s">
        <v>55</v>
      </c>
      <c r="I85" s="7" t="n">
        <v>37.82</v>
      </c>
      <c r="J85" s="8" t="n">
        <v>1309.2</v>
      </c>
      <c r="K85" s="7" t="n">
        <v>34.94</v>
      </c>
      <c r="L85" s="7" t="n">
        <v>45742.49</v>
      </c>
      <c r="M85" s="6" t="s">
        <v>264</v>
      </c>
    </row>
    <row r="86" customFormat="false" ht="15" hidden="false" customHeight="false" outlineLevel="0" collapsed="false">
      <c r="A86" s="6" t="s">
        <v>265</v>
      </c>
      <c r="B86" s="6" t="s">
        <v>255</v>
      </c>
      <c r="C86" s="6" t="s">
        <v>256</v>
      </c>
      <c r="D86" s="6" t="s">
        <v>144</v>
      </c>
      <c r="E86" s="6" t="s">
        <v>48</v>
      </c>
      <c r="F86" s="6" t="s">
        <v>61</v>
      </c>
      <c r="G86" s="6" t="s">
        <v>50</v>
      </c>
      <c r="H86" s="6" t="s">
        <v>55</v>
      </c>
      <c r="I86" s="7" t="n">
        <v>37.96</v>
      </c>
      <c r="J86" s="8" t="n">
        <v>1310.4</v>
      </c>
      <c r="K86" s="7" t="n">
        <v>35.08</v>
      </c>
      <c r="L86" s="7" t="n">
        <v>45968.56</v>
      </c>
      <c r="M86" s="6" t="s">
        <v>220</v>
      </c>
    </row>
    <row r="87" customFormat="false" ht="15" hidden="false" customHeight="false" outlineLevel="0" collapsed="false">
      <c r="A87" s="6" t="s">
        <v>266</v>
      </c>
      <c r="B87" s="6" t="s">
        <v>255</v>
      </c>
      <c r="C87" s="6" t="s">
        <v>256</v>
      </c>
      <c r="D87" s="6" t="s">
        <v>144</v>
      </c>
      <c r="E87" s="6" t="s">
        <v>48</v>
      </c>
      <c r="F87" s="6" t="s">
        <v>88</v>
      </c>
      <c r="G87" s="6" t="s">
        <v>106</v>
      </c>
      <c r="H87" s="6" t="s">
        <v>55</v>
      </c>
      <c r="I87" s="7" t="n">
        <v>29.47</v>
      </c>
      <c r="J87" s="8" t="n">
        <v>739.9</v>
      </c>
      <c r="K87" s="7" t="n">
        <v>20.11</v>
      </c>
      <c r="L87" s="7" t="n">
        <v>14880.14</v>
      </c>
      <c r="M87" s="6" t="s">
        <v>73</v>
      </c>
    </row>
    <row r="88" customFormat="false" ht="15" hidden="false" customHeight="false" outlineLevel="0" collapsed="false">
      <c r="A88" s="6" t="s">
        <v>267</v>
      </c>
      <c r="B88" s="6" t="s">
        <v>255</v>
      </c>
      <c r="C88" s="6" t="s">
        <v>256</v>
      </c>
      <c r="D88" s="6" t="s">
        <v>144</v>
      </c>
      <c r="E88" s="6" t="s">
        <v>48</v>
      </c>
      <c r="F88" s="6" t="s">
        <v>65</v>
      </c>
      <c r="G88" s="6" t="s">
        <v>66</v>
      </c>
      <c r="H88" s="6" t="s">
        <v>51</v>
      </c>
      <c r="I88" s="7" t="n">
        <v>32.13</v>
      </c>
      <c r="J88" s="8" t="n">
        <v>1418.1</v>
      </c>
      <c r="K88" s="7" t="n">
        <v>28.08</v>
      </c>
      <c r="L88" s="7" t="n">
        <v>39818.9</v>
      </c>
      <c r="M88" s="6" t="s">
        <v>268</v>
      </c>
    </row>
    <row r="89" customFormat="false" ht="15" hidden="false" customHeight="false" outlineLevel="0" collapsed="false">
      <c r="A89" s="6" t="s">
        <v>269</v>
      </c>
      <c r="B89" s="6" t="s">
        <v>255</v>
      </c>
      <c r="C89" s="6" t="s">
        <v>256</v>
      </c>
      <c r="D89" s="6" t="s">
        <v>144</v>
      </c>
      <c r="E89" s="6" t="s">
        <v>48</v>
      </c>
      <c r="F89" s="6" t="s">
        <v>61</v>
      </c>
      <c r="G89" s="6" t="s">
        <v>106</v>
      </c>
      <c r="H89" s="6" t="s">
        <v>51</v>
      </c>
      <c r="I89" s="7" t="n">
        <v>39.41</v>
      </c>
      <c r="J89" s="8" t="n">
        <v>1224.5</v>
      </c>
      <c r="K89" s="7" t="n">
        <v>24.34</v>
      </c>
      <c r="L89" s="7" t="n">
        <v>29805.29</v>
      </c>
      <c r="M89" s="6" t="s">
        <v>226</v>
      </c>
    </row>
    <row r="90" customFormat="false" ht="15" hidden="false" customHeight="false" outlineLevel="0" collapsed="false">
      <c r="A90" s="6" t="s">
        <v>270</v>
      </c>
      <c r="B90" s="6" t="s">
        <v>255</v>
      </c>
      <c r="C90" s="6" t="s">
        <v>256</v>
      </c>
      <c r="D90" s="6" t="s">
        <v>144</v>
      </c>
      <c r="E90" s="6" t="s">
        <v>48</v>
      </c>
      <c r="F90" s="6" t="s">
        <v>49</v>
      </c>
      <c r="G90" s="6" t="s">
        <v>50</v>
      </c>
      <c r="H90" s="6" t="s">
        <v>55</v>
      </c>
      <c r="I90" s="7" t="n">
        <v>28.33</v>
      </c>
      <c r="J90" s="8" t="n">
        <v>1085.2</v>
      </c>
      <c r="K90" s="7" t="n">
        <v>26.18</v>
      </c>
      <c r="L90" s="7" t="n">
        <v>28409.72</v>
      </c>
      <c r="M90" s="6" t="s">
        <v>271</v>
      </c>
    </row>
    <row r="91" customFormat="false" ht="15" hidden="false" customHeight="false" outlineLevel="0" collapsed="false">
      <c r="A91" s="6" t="s">
        <v>272</v>
      </c>
      <c r="B91" s="6" t="s">
        <v>255</v>
      </c>
      <c r="C91" s="6" t="s">
        <v>256</v>
      </c>
      <c r="D91" s="6" t="s">
        <v>144</v>
      </c>
      <c r="E91" s="6" t="s">
        <v>48</v>
      </c>
      <c r="F91" s="6" t="s">
        <v>65</v>
      </c>
      <c r="G91" s="6" t="s">
        <v>147</v>
      </c>
      <c r="H91" s="6" t="s">
        <v>55</v>
      </c>
      <c r="I91" s="7" t="n">
        <v>32.22</v>
      </c>
      <c r="J91" s="8" t="n">
        <v>815.6</v>
      </c>
      <c r="K91" s="7" t="n">
        <v>32.14</v>
      </c>
      <c r="L91" s="7" t="n">
        <v>26213.43</v>
      </c>
      <c r="M91" s="6" t="s">
        <v>273</v>
      </c>
    </row>
    <row r="92" customFormat="false" ht="15" hidden="false" customHeight="false" outlineLevel="0" collapsed="false">
      <c r="A92" s="6" t="s">
        <v>274</v>
      </c>
      <c r="B92" s="6" t="s">
        <v>275</v>
      </c>
      <c r="C92" s="6" t="s">
        <v>276</v>
      </c>
      <c r="D92" s="6" t="s">
        <v>139</v>
      </c>
      <c r="E92" s="6" t="s">
        <v>48</v>
      </c>
      <c r="F92" s="6" t="s">
        <v>54</v>
      </c>
      <c r="G92" s="6" t="s">
        <v>147</v>
      </c>
      <c r="H92" s="6" t="s">
        <v>51</v>
      </c>
      <c r="I92" s="7" t="n">
        <v>9.48</v>
      </c>
      <c r="J92" s="8" t="n">
        <v>733.4</v>
      </c>
      <c r="K92" s="7" t="n">
        <v>8.56</v>
      </c>
      <c r="L92" s="7" t="n">
        <v>6278.14</v>
      </c>
      <c r="M92" s="6" t="s">
        <v>277</v>
      </c>
    </row>
    <row r="93" customFormat="false" ht="15" hidden="false" customHeight="false" outlineLevel="0" collapsed="false">
      <c r="A93" s="6" t="s">
        <v>278</v>
      </c>
      <c r="B93" s="6" t="s">
        <v>275</v>
      </c>
      <c r="C93" s="6" t="s">
        <v>276</v>
      </c>
      <c r="D93" s="6" t="s">
        <v>139</v>
      </c>
      <c r="E93" s="6" t="s">
        <v>48</v>
      </c>
      <c r="F93" s="6" t="s">
        <v>61</v>
      </c>
      <c r="G93" s="6" t="s">
        <v>62</v>
      </c>
      <c r="H93" s="6" t="s">
        <v>55</v>
      </c>
      <c r="I93" s="7" t="n">
        <v>37.58</v>
      </c>
      <c r="J93" s="8" t="n">
        <v>919.2</v>
      </c>
      <c r="K93" s="7" t="n">
        <v>29.6</v>
      </c>
      <c r="L93" s="7" t="n">
        <v>27209.43</v>
      </c>
      <c r="M93" s="6" t="s">
        <v>279</v>
      </c>
    </row>
    <row r="94" customFormat="false" ht="15" hidden="false" customHeight="false" outlineLevel="0" collapsed="false">
      <c r="A94" s="6" t="s">
        <v>280</v>
      </c>
      <c r="B94" s="6" t="s">
        <v>275</v>
      </c>
      <c r="C94" s="6" t="s">
        <v>276</v>
      </c>
      <c r="D94" s="6" t="s">
        <v>139</v>
      </c>
      <c r="E94" s="6" t="s">
        <v>48</v>
      </c>
      <c r="F94" s="6" t="s">
        <v>88</v>
      </c>
      <c r="G94" s="6" t="s">
        <v>62</v>
      </c>
      <c r="H94" s="6" t="s">
        <v>55</v>
      </c>
      <c r="I94" s="7" t="n">
        <v>29.06</v>
      </c>
      <c r="J94" s="8" t="n">
        <v>986.5</v>
      </c>
      <c r="K94" s="7" t="n">
        <v>22.89</v>
      </c>
      <c r="L94" s="7" t="n">
        <v>22579.97</v>
      </c>
      <c r="M94" s="6" t="s">
        <v>107</v>
      </c>
    </row>
    <row r="95" customFormat="false" ht="15" hidden="false" customHeight="false" outlineLevel="0" collapsed="false">
      <c r="A95" s="6" t="s">
        <v>281</v>
      </c>
      <c r="B95" s="6" t="s">
        <v>275</v>
      </c>
      <c r="C95" s="6" t="s">
        <v>276</v>
      </c>
      <c r="D95" s="6" t="s">
        <v>139</v>
      </c>
      <c r="E95" s="6" t="s">
        <v>48</v>
      </c>
      <c r="F95" s="6" t="s">
        <v>49</v>
      </c>
      <c r="G95" s="6" t="s">
        <v>50</v>
      </c>
      <c r="H95" s="6" t="s">
        <v>55</v>
      </c>
      <c r="I95" s="7" t="n">
        <v>28.94</v>
      </c>
      <c r="J95" s="8" t="n">
        <v>494.8</v>
      </c>
      <c r="K95" s="7" t="n">
        <v>26.74</v>
      </c>
      <c r="L95" s="7" t="n">
        <v>13230.51</v>
      </c>
      <c r="M95" s="6" t="s">
        <v>282</v>
      </c>
    </row>
    <row r="96" customFormat="false" ht="15" hidden="false" customHeight="false" outlineLevel="0" collapsed="false">
      <c r="A96" s="6" t="s">
        <v>283</v>
      </c>
      <c r="B96" s="6" t="s">
        <v>284</v>
      </c>
      <c r="C96" s="6" t="s">
        <v>285</v>
      </c>
      <c r="D96" s="6" t="s">
        <v>60</v>
      </c>
      <c r="E96" s="6" t="s">
        <v>48</v>
      </c>
      <c r="F96" s="6" t="s">
        <v>54</v>
      </c>
      <c r="G96" s="6" t="s">
        <v>147</v>
      </c>
      <c r="H96" s="6" t="s">
        <v>55</v>
      </c>
      <c r="I96" s="7" t="n">
        <v>10.14</v>
      </c>
      <c r="J96" s="8" t="n">
        <v>3000</v>
      </c>
      <c r="K96" s="7" t="n">
        <v>10.11</v>
      </c>
      <c r="L96" s="7" t="n">
        <v>30330</v>
      </c>
      <c r="M96" s="6" t="s">
        <v>279</v>
      </c>
    </row>
    <row r="97" customFormat="false" ht="15" hidden="false" customHeight="false" outlineLevel="0" collapsed="false">
      <c r="A97" s="6" t="s">
        <v>286</v>
      </c>
      <c r="B97" s="6" t="s">
        <v>287</v>
      </c>
      <c r="C97" s="6" t="s">
        <v>288</v>
      </c>
      <c r="D97" s="6" t="s">
        <v>194</v>
      </c>
      <c r="E97" s="6" t="s">
        <v>48</v>
      </c>
      <c r="F97" s="6" t="s">
        <v>65</v>
      </c>
      <c r="G97" s="6" t="s">
        <v>62</v>
      </c>
      <c r="H97" s="6" t="s">
        <v>77</v>
      </c>
      <c r="I97" s="7" t="n">
        <v>32</v>
      </c>
      <c r="J97" s="8" t="n">
        <v>1002.9</v>
      </c>
      <c r="K97" s="7" t="n">
        <v>24</v>
      </c>
      <c r="L97" s="7" t="n">
        <v>24070.34</v>
      </c>
      <c r="M97" s="6" t="s">
        <v>289</v>
      </c>
    </row>
    <row r="98" customFormat="false" ht="15" hidden="false" customHeight="false" outlineLevel="0" collapsed="false">
      <c r="A98" s="6" t="s">
        <v>290</v>
      </c>
      <c r="B98" s="6" t="s">
        <v>287</v>
      </c>
      <c r="C98" s="6" t="s">
        <v>288</v>
      </c>
      <c r="D98" s="6" t="s">
        <v>194</v>
      </c>
      <c r="E98" s="6" t="s">
        <v>48</v>
      </c>
      <c r="F98" s="6" t="s">
        <v>65</v>
      </c>
      <c r="G98" s="6" t="s">
        <v>66</v>
      </c>
      <c r="H98" s="6" t="s">
        <v>51</v>
      </c>
      <c r="I98" s="7" t="n">
        <v>31.86</v>
      </c>
      <c r="J98" s="8" t="n">
        <v>1000.9</v>
      </c>
      <c r="K98" s="7" t="n">
        <v>27.85</v>
      </c>
      <c r="L98" s="7" t="n">
        <v>27876.15</v>
      </c>
      <c r="M98" s="6" t="s">
        <v>291</v>
      </c>
    </row>
    <row r="99" customFormat="false" ht="15" hidden="false" customHeight="false" outlineLevel="0" collapsed="false">
      <c r="A99" s="6" t="s">
        <v>292</v>
      </c>
      <c r="B99" s="6" t="s">
        <v>287</v>
      </c>
      <c r="C99" s="6" t="s">
        <v>288</v>
      </c>
      <c r="D99" s="6" t="s">
        <v>194</v>
      </c>
      <c r="E99" s="6" t="s">
        <v>48</v>
      </c>
      <c r="F99" s="6" t="s">
        <v>49</v>
      </c>
      <c r="G99" s="6" t="s">
        <v>106</v>
      </c>
      <c r="H99" s="6" t="s">
        <v>77</v>
      </c>
      <c r="I99" s="7" t="n">
        <v>28.73</v>
      </c>
      <c r="J99" s="8" t="n">
        <v>756.5</v>
      </c>
      <c r="K99" s="7" t="n">
        <v>18.67</v>
      </c>
      <c r="L99" s="7" t="n">
        <v>14123.45</v>
      </c>
      <c r="M99" s="6" t="s">
        <v>293</v>
      </c>
    </row>
    <row r="100" customFormat="false" ht="15" hidden="false" customHeight="false" outlineLevel="0" collapsed="false">
      <c r="A100" s="6" t="s">
        <v>294</v>
      </c>
      <c r="B100" s="6" t="s">
        <v>295</v>
      </c>
      <c r="C100" s="6" t="s">
        <v>296</v>
      </c>
      <c r="D100" s="6" t="s">
        <v>87</v>
      </c>
      <c r="E100" s="6" t="s">
        <v>48</v>
      </c>
      <c r="F100" s="6" t="s">
        <v>88</v>
      </c>
      <c r="G100" s="6" t="s">
        <v>66</v>
      </c>
      <c r="H100" s="6" t="s">
        <v>55</v>
      </c>
      <c r="I100" s="7" t="n">
        <v>28.33</v>
      </c>
      <c r="J100" s="8" t="n">
        <v>414.1</v>
      </c>
      <c r="K100" s="7" t="n">
        <v>27.36</v>
      </c>
      <c r="L100" s="7" t="n">
        <v>11328.72</v>
      </c>
      <c r="M100" s="6" t="s">
        <v>297</v>
      </c>
    </row>
    <row r="101" customFormat="false" ht="15" hidden="false" customHeight="false" outlineLevel="0" collapsed="false">
      <c r="A101" s="6" t="s">
        <v>298</v>
      </c>
      <c r="B101" s="6" t="s">
        <v>299</v>
      </c>
      <c r="C101" s="6" t="s">
        <v>300</v>
      </c>
      <c r="D101" s="6" t="s">
        <v>82</v>
      </c>
      <c r="E101" s="6" t="s">
        <v>48</v>
      </c>
      <c r="F101" s="6" t="s">
        <v>54</v>
      </c>
      <c r="G101" s="6" t="s">
        <v>62</v>
      </c>
      <c r="H101" s="6" t="s">
        <v>77</v>
      </c>
      <c r="I101" s="7" t="n">
        <v>9.94</v>
      </c>
      <c r="J101" s="8" t="n">
        <v>910.3</v>
      </c>
      <c r="K101" s="7" t="n">
        <v>7.46</v>
      </c>
      <c r="L101" s="7" t="n">
        <v>6791</v>
      </c>
      <c r="M101" s="6" t="s">
        <v>162</v>
      </c>
    </row>
    <row r="102" customFormat="false" ht="15" hidden="false" customHeight="false" outlineLevel="0" collapsed="false">
      <c r="A102" s="6" t="s">
        <v>301</v>
      </c>
      <c r="B102" s="6" t="s">
        <v>302</v>
      </c>
      <c r="C102" s="6" t="s">
        <v>303</v>
      </c>
      <c r="D102" s="6" t="s">
        <v>139</v>
      </c>
      <c r="E102" s="6" t="s">
        <v>48</v>
      </c>
      <c r="F102" s="6" t="s">
        <v>88</v>
      </c>
      <c r="G102" s="6" t="s">
        <v>66</v>
      </c>
      <c r="H102" s="6" t="s">
        <v>55</v>
      </c>
      <c r="I102" s="7" t="n">
        <v>28.49</v>
      </c>
      <c r="J102" s="8" t="n">
        <v>317.9</v>
      </c>
      <c r="K102" s="7" t="n">
        <v>27.52</v>
      </c>
      <c r="L102" s="7" t="n">
        <v>8748.81</v>
      </c>
      <c r="M102" s="6" t="s">
        <v>113</v>
      </c>
    </row>
    <row r="103" customFormat="false" ht="15" hidden="false" customHeight="false" outlineLevel="0" collapsed="false">
      <c r="A103" s="6" t="s">
        <v>304</v>
      </c>
      <c r="B103" s="6" t="s">
        <v>305</v>
      </c>
      <c r="C103" s="6" t="s">
        <v>306</v>
      </c>
      <c r="D103" s="6" t="s">
        <v>189</v>
      </c>
      <c r="E103" s="6" t="s">
        <v>48</v>
      </c>
      <c r="F103" s="6" t="s">
        <v>65</v>
      </c>
      <c r="G103" s="6" t="s">
        <v>50</v>
      </c>
      <c r="H103" s="6" t="s">
        <v>51</v>
      </c>
      <c r="I103" s="7" t="n">
        <v>31.65</v>
      </c>
      <c r="J103" s="8" t="n">
        <v>1031.5</v>
      </c>
      <c r="K103" s="7" t="n">
        <v>26.46</v>
      </c>
      <c r="L103" s="7" t="n">
        <v>27292.6</v>
      </c>
      <c r="M103" s="6" t="s">
        <v>95</v>
      </c>
    </row>
    <row r="104" customFormat="false" ht="15" hidden="false" customHeight="false" outlineLevel="0" collapsed="false">
      <c r="A104" s="6" t="s">
        <v>307</v>
      </c>
      <c r="B104" s="6" t="s">
        <v>305</v>
      </c>
      <c r="C104" s="6" t="s">
        <v>306</v>
      </c>
      <c r="D104" s="6" t="s">
        <v>189</v>
      </c>
      <c r="E104" s="6" t="s">
        <v>48</v>
      </c>
      <c r="F104" s="6" t="s">
        <v>49</v>
      </c>
      <c r="G104" s="6" t="s">
        <v>62</v>
      </c>
      <c r="H104" s="6" t="s">
        <v>51</v>
      </c>
      <c r="I104" s="7" t="n">
        <v>29.61</v>
      </c>
      <c r="J104" s="8" t="n">
        <v>584.9</v>
      </c>
      <c r="K104" s="7" t="n">
        <v>21.1</v>
      </c>
      <c r="L104" s="7" t="n">
        <v>12341.5</v>
      </c>
      <c r="M104" s="6" t="s">
        <v>308</v>
      </c>
    </row>
    <row r="105" customFormat="false" ht="15" hidden="false" customHeight="false" outlineLevel="0" collapsed="false">
      <c r="A105" s="6" t="s">
        <v>309</v>
      </c>
      <c r="B105" s="6" t="s">
        <v>310</v>
      </c>
      <c r="C105" s="6" t="s">
        <v>311</v>
      </c>
      <c r="D105" s="6" t="s">
        <v>144</v>
      </c>
      <c r="E105" s="6" t="s">
        <v>48</v>
      </c>
      <c r="F105" s="6" t="s">
        <v>88</v>
      </c>
      <c r="G105" s="6" t="s">
        <v>50</v>
      </c>
      <c r="H105" s="6" t="s">
        <v>55</v>
      </c>
      <c r="I105" s="7" t="n">
        <v>28.33</v>
      </c>
      <c r="J105" s="8" t="n">
        <v>1144.9</v>
      </c>
      <c r="K105" s="7" t="n">
        <v>26.17</v>
      </c>
      <c r="L105" s="7" t="n">
        <v>29961.42</v>
      </c>
      <c r="M105" s="6" t="s">
        <v>220</v>
      </c>
    </row>
    <row r="106" customFormat="false" ht="15" hidden="false" customHeight="false" outlineLevel="0" collapsed="false">
      <c r="A106" s="6" t="s">
        <v>312</v>
      </c>
      <c r="B106" s="6" t="s">
        <v>310</v>
      </c>
      <c r="C106" s="6" t="s">
        <v>311</v>
      </c>
      <c r="D106" s="6" t="s">
        <v>144</v>
      </c>
      <c r="E106" s="6" t="s">
        <v>48</v>
      </c>
      <c r="F106" s="6" t="s">
        <v>54</v>
      </c>
      <c r="G106" s="6" t="s">
        <v>147</v>
      </c>
      <c r="H106" s="6" t="s">
        <v>77</v>
      </c>
      <c r="I106" s="7" t="n">
        <v>9.97</v>
      </c>
      <c r="J106" s="8" t="n">
        <v>1022.9</v>
      </c>
      <c r="K106" s="7" t="n">
        <v>9.47</v>
      </c>
      <c r="L106" s="7" t="n">
        <v>9686.43</v>
      </c>
      <c r="M106" s="6" t="s">
        <v>152</v>
      </c>
    </row>
    <row r="107" customFormat="false" ht="15" hidden="false" customHeight="false" outlineLevel="0" collapsed="false">
      <c r="A107" s="6" t="s">
        <v>313</v>
      </c>
      <c r="B107" s="6" t="s">
        <v>310</v>
      </c>
      <c r="C107" s="6" t="s">
        <v>311</v>
      </c>
      <c r="D107" s="6" t="s">
        <v>144</v>
      </c>
      <c r="E107" s="6" t="s">
        <v>48</v>
      </c>
      <c r="F107" s="6" t="s">
        <v>49</v>
      </c>
      <c r="G107" s="6" t="s">
        <v>62</v>
      </c>
      <c r="H107" s="6" t="s">
        <v>55</v>
      </c>
      <c r="I107" s="7" t="n">
        <v>27.93</v>
      </c>
      <c r="J107" s="8" t="n">
        <v>1205</v>
      </c>
      <c r="K107" s="7" t="n">
        <v>22</v>
      </c>
      <c r="L107" s="7" t="n">
        <v>26510.75</v>
      </c>
      <c r="M107" s="6" t="s">
        <v>71</v>
      </c>
    </row>
    <row r="108" customFormat="false" ht="15" hidden="false" customHeight="false" outlineLevel="0" collapsed="false">
      <c r="A108" s="6" t="s">
        <v>314</v>
      </c>
      <c r="B108" s="6" t="s">
        <v>310</v>
      </c>
      <c r="C108" s="6" t="s">
        <v>311</v>
      </c>
      <c r="D108" s="6" t="s">
        <v>144</v>
      </c>
      <c r="E108" s="6" t="s">
        <v>48</v>
      </c>
      <c r="F108" s="6" t="s">
        <v>49</v>
      </c>
      <c r="G108" s="6" t="s">
        <v>62</v>
      </c>
      <c r="H108" s="6" t="s">
        <v>51</v>
      </c>
      <c r="I108" s="7" t="n">
        <v>29.84</v>
      </c>
      <c r="J108" s="8" t="n">
        <v>854</v>
      </c>
      <c r="K108" s="7" t="n">
        <v>21.26</v>
      </c>
      <c r="L108" s="7" t="n">
        <v>18156.61</v>
      </c>
      <c r="M108" s="6" t="s">
        <v>315</v>
      </c>
    </row>
    <row r="109" customFormat="false" ht="15" hidden="false" customHeight="false" outlineLevel="0" collapsed="false">
      <c r="A109" s="6" t="s">
        <v>316</v>
      </c>
      <c r="B109" s="6" t="s">
        <v>310</v>
      </c>
      <c r="C109" s="6" t="s">
        <v>311</v>
      </c>
      <c r="D109" s="6" t="s">
        <v>144</v>
      </c>
      <c r="E109" s="6" t="s">
        <v>48</v>
      </c>
      <c r="F109" s="6" t="s">
        <v>54</v>
      </c>
      <c r="G109" s="6" t="s">
        <v>50</v>
      </c>
      <c r="H109" s="6" t="s">
        <v>55</v>
      </c>
      <c r="I109" s="7" t="n">
        <v>10.02</v>
      </c>
      <c r="J109" s="8" t="n">
        <v>1162.2</v>
      </c>
      <c r="K109" s="7" t="n">
        <v>9.26</v>
      </c>
      <c r="L109" s="7" t="n">
        <v>10762.43</v>
      </c>
      <c r="M109" s="6" t="s">
        <v>115</v>
      </c>
    </row>
    <row r="110" customFormat="false" ht="15" hidden="false" customHeight="false" outlineLevel="0" collapsed="false">
      <c r="A110" s="6" t="s">
        <v>317</v>
      </c>
      <c r="B110" s="6" t="s">
        <v>310</v>
      </c>
      <c r="C110" s="6" t="s">
        <v>311</v>
      </c>
      <c r="D110" s="6" t="s">
        <v>144</v>
      </c>
      <c r="E110" s="6" t="s">
        <v>48</v>
      </c>
      <c r="F110" s="6" t="s">
        <v>65</v>
      </c>
      <c r="G110" s="6" t="s">
        <v>147</v>
      </c>
      <c r="H110" s="6" t="s">
        <v>55</v>
      </c>
      <c r="I110" s="7" t="n">
        <v>31.77</v>
      </c>
      <c r="J110" s="8" t="n">
        <v>1484.4</v>
      </c>
      <c r="K110" s="7" t="n">
        <v>31.69</v>
      </c>
      <c r="L110" s="7" t="n">
        <v>47041.32</v>
      </c>
      <c r="M110" s="6" t="s">
        <v>318</v>
      </c>
    </row>
    <row r="111" customFormat="false" ht="15" hidden="false" customHeight="false" outlineLevel="0" collapsed="false">
      <c r="A111" s="6" t="s">
        <v>319</v>
      </c>
      <c r="B111" s="6" t="s">
        <v>310</v>
      </c>
      <c r="C111" s="6" t="s">
        <v>311</v>
      </c>
      <c r="D111" s="6" t="s">
        <v>144</v>
      </c>
      <c r="E111" s="6" t="s">
        <v>48</v>
      </c>
      <c r="F111" s="6" t="s">
        <v>49</v>
      </c>
      <c r="G111" s="6" t="s">
        <v>62</v>
      </c>
      <c r="H111" s="6" t="s">
        <v>51</v>
      </c>
      <c r="I111" s="7" t="n">
        <v>27.21</v>
      </c>
      <c r="J111" s="8" t="n">
        <v>300</v>
      </c>
      <c r="K111" s="7" t="n">
        <v>19.39</v>
      </c>
      <c r="L111" s="7" t="n">
        <v>5817</v>
      </c>
      <c r="M111" s="6" t="s">
        <v>320</v>
      </c>
    </row>
    <row r="112" customFormat="false" ht="15" hidden="false" customHeight="false" outlineLevel="0" collapsed="false">
      <c r="A112" s="6" t="s">
        <v>321</v>
      </c>
      <c r="B112" s="6" t="s">
        <v>310</v>
      </c>
      <c r="C112" s="6" t="s">
        <v>311</v>
      </c>
      <c r="D112" s="6" t="s">
        <v>144</v>
      </c>
      <c r="E112" s="6" t="s">
        <v>48</v>
      </c>
      <c r="F112" s="6" t="s">
        <v>88</v>
      </c>
      <c r="G112" s="6" t="s">
        <v>62</v>
      </c>
      <c r="H112" s="6" t="s">
        <v>51</v>
      </c>
      <c r="I112" s="7" t="n">
        <v>27.9</v>
      </c>
      <c r="J112" s="8" t="n">
        <v>1380.9</v>
      </c>
      <c r="K112" s="7" t="n">
        <v>19.88</v>
      </c>
      <c r="L112" s="7" t="n">
        <v>27453.07</v>
      </c>
      <c r="M112" s="6" t="s">
        <v>322</v>
      </c>
    </row>
    <row r="113" customFormat="false" ht="15" hidden="false" customHeight="false" outlineLevel="0" collapsed="false">
      <c r="A113" s="6" t="s">
        <v>323</v>
      </c>
      <c r="B113" s="6" t="s">
        <v>310</v>
      </c>
      <c r="C113" s="6" t="s">
        <v>311</v>
      </c>
      <c r="D113" s="6" t="s">
        <v>144</v>
      </c>
      <c r="E113" s="6" t="s">
        <v>48</v>
      </c>
      <c r="F113" s="6" t="s">
        <v>49</v>
      </c>
      <c r="G113" s="6" t="s">
        <v>106</v>
      </c>
      <c r="H113" s="6" t="s">
        <v>55</v>
      </c>
      <c r="I113" s="7" t="n">
        <v>27.45</v>
      </c>
      <c r="J113" s="8" t="n">
        <v>891.3</v>
      </c>
      <c r="K113" s="7" t="n">
        <v>18.73</v>
      </c>
      <c r="L113" s="7" t="n">
        <v>16694.74</v>
      </c>
      <c r="M113" s="6" t="s">
        <v>158</v>
      </c>
    </row>
    <row r="114" customFormat="false" ht="15" hidden="false" customHeight="false" outlineLevel="0" collapsed="false">
      <c r="A114" s="6" t="s">
        <v>324</v>
      </c>
      <c r="B114" s="6" t="s">
        <v>310</v>
      </c>
      <c r="C114" s="6" t="s">
        <v>311</v>
      </c>
      <c r="D114" s="6" t="s">
        <v>144</v>
      </c>
      <c r="E114" s="6" t="s">
        <v>48</v>
      </c>
      <c r="F114" s="6" t="s">
        <v>65</v>
      </c>
      <c r="G114" s="6" t="s">
        <v>50</v>
      </c>
      <c r="H114" s="6" t="s">
        <v>55</v>
      </c>
      <c r="I114" s="7" t="n">
        <v>31.64</v>
      </c>
      <c r="J114" s="8" t="n">
        <v>818</v>
      </c>
      <c r="K114" s="7" t="n">
        <v>29.24</v>
      </c>
      <c r="L114" s="7" t="n">
        <v>23917.29</v>
      </c>
      <c r="M114" s="6" t="s">
        <v>325</v>
      </c>
    </row>
    <row r="115" customFormat="false" ht="15" hidden="false" customHeight="false" outlineLevel="0" collapsed="false">
      <c r="A115" s="6" t="s">
        <v>326</v>
      </c>
      <c r="B115" s="6" t="s">
        <v>327</v>
      </c>
      <c r="C115" s="6" t="s">
        <v>328</v>
      </c>
      <c r="D115" s="6" t="s">
        <v>144</v>
      </c>
      <c r="E115" s="6" t="s">
        <v>48</v>
      </c>
      <c r="F115" s="6" t="s">
        <v>54</v>
      </c>
      <c r="G115" s="6" t="s">
        <v>62</v>
      </c>
      <c r="H115" s="6" t="s">
        <v>51</v>
      </c>
      <c r="I115" s="7" t="n">
        <v>10.49</v>
      </c>
      <c r="J115" s="8" t="n">
        <v>563.7</v>
      </c>
      <c r="K115" s="7" t="n">
        <v>7.47</v>
      </c>
      <c r="L115" s="7" t="n">
        <v>4210.87</v>
      </c>
      <c r="M115" s="6" t="s">
        <v>329</v>
      </c>
    </row>
    <row r="116" customFormat="false" ht="15" hidden="false" customHeight="false" outlineLevel="0" collapsed="false">
      <c r="A116" s="6" t="s">
        <v>330</v>
      </c>
      <c r="B116" s="6" t="s">
        <v>327</v>
      </c>
      <c r="C116" s="6" t="s">
        <v>328</v>
      </c>
      <c r="D116" s="6" t="s">
        <v>144</v>
      </c>
      <c r="E116" s="6" t="s">
        <v>48</v>
      </c>
      <c r="F116" s="6" t="s">
        <v>65</v>
      </c>
      <c r="G116" s="6" t="s">
        <v>50</v>
      </c>
      <c r="H116" s="6" t="s">
        <v>55</v>
      </c>
      <c r="I116" s="7" t="n">
        <v>32.64</v>
      </c>
      <c r="J116" s="8" t="n">
        <v>635</v>
      </c>
      <c r="K116" s="7" t="n">
        <v>30.16</v>
      </c>
      <c r="L116" s="7" t="n">
        <v>19150.71</v>
      </c>
      <c r="M116" s="6" t="s">
        <v>331</v>
      </c>
    </row>
    <row r="117" customFormat="false" ht="15" hidden="false" customHeight="false" outlineLevel="0" collapsed="false">
      <c r="A117" s="6" t="s">
        <v>332</v>
      </c>
      <c r="B117" s="6" t="s">
        <v>327</v>
      </c>
      <c r="C117" s="6" t="s">
        <v>328</v>
      </c>
      <c r="D117" s="6" t="s">
        <v>144</v>
      </c>
      <c r="E117" s="6" t="s">
        <v>48</v>
      </c>
      <c r="F117" s="6" t="s">
        <v>65</v>
      </c>
      <c r="G117" s="6" t="s">
        <v>106</v>
      </c>
      <c r="H117" s="6" t="s">
        <v>51</v>
      </c>
      <c r="I117" s="7" t="n">
        <v>31.2</v>
      </c>
      <c r="J117" s="8" t="n">
        <v>808.7</v>
      </c>
      <c r="K117" s="7" t="n">
        <v>19.27</v>
      </c>
      <c r="L117" s="7" t="n">
        <v>15583.16</v>
      </c>
      <c r="M117" s="6" t="s">
        <v>197</v>
      </c>
    </row>
    <row r="118" customFormat="false" ht="15" hidden="false" customHeight="false" outlineLevel="0" collapsed="false">
      <c r="A118" s="6" t="s">
        <v>333</v>
      </c>
      <c r="B118" s="6" t="s">
        <v>327</v>
      </c>
      <c r="C118" s="6" t="s">
        <v>328</v>
      </c>
      <c r="D118" s="6" t="s">
        <v>144</v>
      </c>
      <c r="E118" s="6" t="s">
        <v>48</v>
      </c>
      <c r="F118" s="6" t="s">
        <v>61</v>
      </c>
      <c r="G118" s="6" t="s">
        <v>50</v>
      </c>
      <c r="H118" s="6" t="s">
        <v>55</v>
      </c>
      <c r="I118" s="7" t="n">
        <v>39.31</v>
      </c>
      <c r="J118" s="8" t="n">
        <v>677.9</v>
      </c>
      <c r="K118" s="7" t="n">
        <v>36.32</v>
      </c>
      <c r="L118" s="7" t="n">
        <v>24623.13</v>
      </c>
      <c r="M118" s="6" t="s">
        <v>162</v>
      </c>
    </row>
    <row r="119" customFormat="false" ht="15" hidden="false" customHeight="false" outlineLevel="0" collapsed="false">
      <c r="A119" s="6" t="s">
        <v>334</v>
      </c>
      <c r="B119" s="6" t="s">
        <v>327</v>
      </c>
      <c r="C119" s="6" t="s">
        <v>328</v>
      </c>
      <c r="D119" s="6" t="s">
        <v>144</v>
      </c>
      <c r="E119" s="6" t="s">
        <v>48</v>
      </c>
      <c r="F119" s="6" t="s">
        <v>54</v>
      </c>
      <c r="G119" s="6" t="s">
        <v>147</v>
      </c>
      <c r="H119" s="6" t="s">
        <v>55</v>
      </c>
      <c r="I119" s="7" t="n">
        <v>9.79</v>
      </c>
      <c r="J119" s="8" t="n">
        <v>1029.4</v>
      </c>
      <c r="K119" s="7" t="n">
        <v>9.77</v>
      </c>
      <c r="L119" s="7" t="n">
        <v>10056.95</v>
      </c>
      <c r="M119" s="6" t="s">
        <v>335</v>
      </c>
    </row>
    <row r="120" customFormat="false" ht="15" hidden="false" customHeight="false" outlineLevel="0" collapsed="false">
      <c r="A120" s="6" t="s">
        <v>336</v>
      </c>
      <c r="B120" s="6" t="s">
        <v>327</v>
      </c>
      <c r="C120" s="6" t="s">
        <v>328</v>
      </c>
      <c r="D120" s="6" t="s">
        <v>144</v>
      </c>
      <c r="E120" s="6" t="s">
        <v>48</v>
      </c>
      <c r="F120" s="6" t="s">
        <v>88</v>
      </c>
      <c r="G120" s="6" t="s">
        <v>106</v>
      </c>
      <c r="H120" s="6" t="s">
        <v>77</v>
      </c>
      <c r="I120" s="7" t="n">
        <v>28.14</v>
      </c>
      <c r="J120" s="8" t="n">
        <v>868.3</v>
      </c>
      <c r="K120" s="7" t="n">
        <v>18.29</v>
      </c>
      <c r="L120" s="7" t="n">
        <v>15881.68</v>
      </c>
      <c r="M120" s="6" t="s">
        <v>337</v>
      </c>
    </row>
    <row r="121" customFormat="false" ht="15" hidden="false" customHeight="false" outlineLevel="0" collapsed="false">
      <c r="A121" s="6" t="s">
        <v>338</v>
      </c>
      <c r="B121" s="6" t="s">
        <v>327</v>
      </c>
      <c r="C121" s="6" t="s">
        <v>328</v>
      </c>
      <c r="D121" s="6" t="s">
        <v>144</v>
      </c>
      <c r="E121" s="6" t="s">
        <v>48</v>
      </c>
      <c r="F121" s="6" t="s">
        <v>65</v>
      </c>
      <c r="G121" s="6" t="s">
        <v>66</v>
      </c>
      <c r="H121" s="6" t="s">
        <v>55</v>
      </c>
      <c r="I121" s="7" t="n">
        <v>32.84</v>
      </c>
      <c r="J121" s="8" t="n">
        <v>741.5</v>
      </c>
      <c r="K121" s="7" t="n">
        <v>31.73</v>
      </c>
      <c r="L121" s="7" t="n">
        <v>23528.73</v>
      </c>
      <c r="M121" s="6" t="s">
        <v>339</v>
      </c>
    </row>
    <row r="122" customFormat="false" ht="15" hidden="false" customHeight="false" outlineLevel="0" collapsed="false">
      <c r="A122" s="6" t="s">
        <v>340</v>
      </c>
      <c r="B122" s="6" t="s">
        <v>327</v>
      </c>
      <c r="C122" s="6" t="s">
        <v>328</v>
      </c>
      <c r="D122" s="6" t="s">
        <v>144</v>
      </c>
      <c r="E122" s="6" t="s">
        <v>48</v>
      </c>
      <c r="F122" s="6" t="s">
        <v>61</v>
      </c>
      <c r="G122" s="6" t="s">
        <v>50</v>
      </c>
      <c r="H122" s="6" t="s">
        <v>51</v>
      </c>
      <c r="I122" s="7" t="n">
        <v>39.08</v>
      </c>
      <c r="J122" s="8" t="n">
        <v>661</v>
      </c>
      <c r="K122" s="7" t="n">
        <v>32.67</v>
      </c>
      <c r="L122" s="7" t="n">
        <v>21595.28</v>
      </c>
      <c r="M122" s="6" t="s">
        <v>260</v>
      </c>
    </row>
    <row r="123" customFormat="false" ht="15" hidden="false" customHeight="false" outlineLevel="0" collapsed="false">
      <c r="A123" s="6" t="s">
        <v>341</v>
      </c>
      <c r="B123" s="6" t="s">
        <v>342</v>
      </c>
      <c r="C123" s="6" t="s">
        <v>343</v>
      </c>
      <c r="D123" s="6" t="s">
        <v>87</v>
      </c>
      <c r="E123" s="6" t="s">
        <v>48</v>
      </c>
      <c r="F123" s="6" t="s">
        <v>61</v>
      </c>
      <c r="G123" s="6" t="s">
        <v>66</v>
      </c>
      <c r="H123" s="6" t="s">
        <v>55</v>
      </c>
      <c r="I123" s="7" t="n">
        <v>38.23</v>
      </c>
      <c r="J123" s="8" t="n">
        <v>542.4</v>
      </c>
      <c r="K123" s="7" t="n">
        <v>36.93</v>
      </c>
      <c r="L123" s="7" t="n">
        <v>20029.4</v>
      </c>
      <c r="M123" s="6" t="s">
        <v>344</v>
      </c>
    </row>
    <row r="124" customFormat="false" ht="15" hidden="false" customHeight="false" outlineLevel="0" collapsed="false">
      <c r="A124" s="6" t="s">
        <v>345</v>
      </c>
      <c r="B124" s="6" t="s">
        <v>346</v>
      </c>
      <c r="C124" s="6" t="s">
        <v>347</v>
      </c>
      <c r="D124" s="6" t="s">
        <v>166</v>
      </c>
      <c r="E124" s="6" t="s">
        <v>48</v>
      </c>
      <c r="F124" s="6" t="s">
        <v>65</v>
      </c>
      <c r="G124" s="6" t="s">
        <v>50</v>
      </c>
      <c r="H124" s="6" t="s">
        <v>55</v>
      </c>
      <c r="I124" s="7" t="n">
        <v>31.34</v>
      </c>
      <c r="J124" s="8" t="n">
        <v>1330.5</v>
      </c>
      <c r="K124" s="7" t="n">
        <v>28.96</v>
      </c>
      <c r="L124" s="7" t="n">
        <v>38531.13</v>
      </c>
      <c r="M124" s="6" t="s">
        <v>348</v>
      </c>
    </row>
    <row r="125" customFormat="false" ht="15" hidden="false" customHeight="false" outlineLevel="0" collapsed="false">
      <c r="A125" s="6" t="s">
        <v>349</v>
      </c>
      <c r="B125" s="6" t="s">
        <v>346</v>
      </c>
      <c r="C125" s="6" t="s">
        <v>347</v>
      </c>
      <c r="D125" s="6" t="s">
        <v>166</v>
      </c>
      <c r="E125" s="6" t="s">
        <v>48</v>
      </c>
      <c r="F125" s="6" t="s">
        <v>49</v>
      </c>
      <c r="G125" s="6" t="s">
        <v>147</v>
      </c>
      <c r="H125" s="6" t="s">
        <v>77</v>
      </c>
      <c r="I125" s="7" t="n">
        <v>27.43</v>
      </c>
      <c r="J125" s="8" t="n">
        <v>1564.4</v>
      </c>
      <c r="K125" s="7" t="n">
        <v>26.06</v>
      </c>
      <c r="L125" s="7" t="n">
        <v>40768.65</v>
      </c>
      <c r="M125" s="6" t="s">
        <v>308</v>
      </c>
    </row>
    <row r="126" customFormat="false" ht="15" hidden="false" customHeight="false" outlineLevel="0" collapsed="false">
      <c r="A126" s="6" t="s">
        <v>350</v>
      </c>
      <c r="B126" s="6" t="s">
        <v>346</v>
      </c>
      <c r="C126" s="6" t="s">
        <v>347</v>
      </c>
      <c r="D126" s="6" t="s">
        <v>166</v>
      </c>
      <c r="E126" s="6" t="s">
        <v>48</v>
      </c>
      <c r="F126" s="6" t="s">
        <v>88</v>
      </c>
      <c r="G126" s="6" t="s">
        <v>50</v>
      </c>
      <c r="H126" s="6" t="s">
        <v>55</v>
      </c>
      <c r="I126" s="7" t="n">
        <v>29.7</v>
      </c>
      <c r="J126" s="8" t="n">
        <v>847.6</v>
      </c>
      <c r="K126" s="7" t="n">
        <v>27.44</v>
      </c>
      <c r="L126" s="7" t="n">
        <v>23258.82</v>
      </c>
      <c r="M126" s="6" t="s">
        <v>351</v>
      </c>
    </row>
    <row r="127" customFormat="false" ht="15" hidden="false" customHeight="false" outlineLevel="0" collapsed="false">
      <c r="A127" s="6" t="s">
        <v>352</v>
      </c>
      <c r="B127" s="6" t="s">
        <v>346</v>
      </c>
      <c r="C127" s="6" t="s">
        <v>347</v>
      </c>
      <c r="D127" s="6" t="s">
        <v>166</v>
      </c>
      <c r="E127" s="6" t="s">
        <v>48</v>
      </c>
      <c r="F127" s="6" t="s">
        <v>88</v>
      </c>
      <c r="G127" s="6" t="s">
        <v>50</v>
      </c>
      <c r="H127" s="6" t="s">
        <v>51</v>
      </c>
      <c r="I127" s="7" t="n">
        <v>28.76</v>
      </c>
      <c r="J127" s="8" t="n">
        <v>1121.5</v>
      </c>
      <c r="K127" s="7" t="n">
        <v>24.05</v>
      </c>
      <c r="L127" s="7" t="n">
        <v>26971.03</v>
      </c>
      <c r="M127" s="6" t="s">
        <v>353</v>
      </c>
    </row>
    <row r="128" customFormat="false" ht="15" hidden="false" customHeight="false" outlineLevel="0" collapsed="false">
      <c r="A128" s="6" t="s">
        <v>354</v>
      </c>
      <c r="B128" s="6" t="s">
        <v>355</v>
      </c>
      <c r="C128" s="6" t="s">
        <v>356</v>
      </c>
      <c r="D128" s="6" t="s">
        <v>194</v>
      </c>
      <c r="E128" s="6" t="s">
        <v>48</v>
      </c>
      <c r="F128" s="6" t="s">
        <v>65</v>
      </c>
      <c r="G128" s="6" t="s">
        <v>147</v>
      </c>
      <c r="H128" s="6" t="s">
        <v>77</v>
      </c>
      <c r="I128" s="7" t="n">
        <v>32.71</v>
      </c>
      <c r="J128" s="8" t="n">
        <v>925.8</v>
      </c>
      <c r="K128" s="7" t="n">
        <v>31.07</v>
      </c>
      <c r="L128" s="7" t="n">
        <v>28765.96</v>
      </c>
      <c r="M128" s="6" t="s">
        <v>357</v>
      </c>
    </row>
    <row r="129" customFormat="false" ht="15" hidden="false" customHeight="false" outlineLevel="0" collapsed="false">
      <c r="A129" s="6" t="s">
        <v>358</v>
      </c>
      <c r="B129" s="6" t="s">
        <v>355</v>
      </c>
      <c r="C129" s="6" t="s">
        <v>356</v>
      </c>
      <c r="D129" s="6" t="s">
        <v>194</v>
      </c>
      <c r="E129" s="6" t="s">
        <v>48</v>
      </c>
      <c r="F129" s="6" t="s">
        <v>54</v>
      </c>
      <c r="G129" s="6" t="s">
        <v>50</v>
      </c>
      <c r="H129" s="6" t="s">
        <v>51</v>
      </c>
      <c r="I129" s="7" t="n">
        <v>9.59</v>
      </c>
      <c r="J129" s="8" t="n">
        <v>728.8</v>
      </c>
      <c r="K129" s="7" t="n">
        <v>8.02</v>
      </c>
      <c r="L129" s="7" t="n">
        <v>5844.79</v>
      </c>
      <c r="M129" s="6" t="s">
        <v>359</v>
      </c>
    </row>
    <row r="130" customFormat="false" ht="15" hidden="false" customHeight="false" outlineLevel="0" collapsed="false">
      <c r="A130" s="6" t="s">
        <v>360</v>
      </c>
      <c r="B130" s="6" t="s">
        <v>355</v>
      </c>
      <c r="C130" s="6" t="s">
        <v>356</v>
      </c>
      <c r="D130" s="6" t="s">
        <v>194</v>
      </c>
      <c r="E130" s="6" t="s">
        <v>48</v>
      </c>
      <c r="F130" s="6" t="s">
        <v>88</v>
      </c>
      <c r="G130" s="6" t="s">
        <v>50</v>
      </c>
      <c r="H130" s="6" t="s">
        <v>51</v>
      </c>
      <c r="I130" s="7" t="n">
        <v>29.6</v>
      </c>
      <c r="J130" s="8" t="n">
        <v>1643.3</v>
      </c>
      <c r="K130" s="7" t="n">
        <v>24.74</v>
      </c>
      <c r="L130" s="7" t="n">
        <v>40655.4</v>
      </c>
      <c r="M130" s="6" t="s">
        <v>89</v>
      </c>
    </row>
    <row r="131" customFormat="false" ht="15" hidden="false" customHeight="false" outlineLevel="0" collapsed="false">
      <c r="A131" s="6" t="s">
        <v>361</v>
      </c>
      <c r="B131" s="6" t="s">
        <v>355</v>
      </c>
      <c r="C131" s="6" t="s">
        <v>356</v>
      </c>
      <c r="D131" s="6" t="s">
        <v>194</v>
      </c>
      <c r="E131" s="6" t="s">
        <v>48</v>
      </c>
      <c r="F131" s="6" t="s">
        <v>49</v>
      </c>
      <c r="G131" s="6" t="s">
        <v>62</v>
      </c>
      <c r="H131" s="6" t="s">
        <v>77</v>
      </c>
      <c r="I131" s="7" t="n">
        <v>29.71</v>
      </c>
      <c r="J131" s="8" t="n">
        <v>1135.6</v>
      </c>
      <c r="K131" s="7" t="n">
        <v>22.28</v>
      </c>
      <c r="L131" s="7" t="n">
        <v>25300.44</v>
      </c>
      <c r="M131" s="6" t="s">
        <v>362</v>
      </c>
    </row>
    <row r="132" customFormat="false" ht="15" hidden="false" customHeight="false" outlineLevel="0" collapsed="false">
      <c r="A132" s="6" t="s">
        <v>363</v>
      </c>
      <c r="B132" s="6" t="s">
        <v>355</v>
      </c>
      <c r="C132" s="6" t="s">
        <v>356</v>
      </c>
      <c r="D132" s="6" t="s">
        <v>194</v>
      </c>
      <c r="E132" s="6" t="s">
        <v>48</v>
      </c>
      <c r="F132" s="6" t="s">
        <v>49</v>
      </c>
      <c r="G132" s="6" t="s">
        <v>66</v>
      </c>
      <c r="H132" s="6" t="s">
        <v>51</v>
      </c>
      <c r="I132" s="7" t="n">
        <v>29.27</v>
      </c>
      <c r="J132" s="8" t="n">
        <v>1125</v>
      </c>
      <c r="K132" s="7" t="n">
        <v>25.58</v>
      </c>
      <c r="L132" s="7" t="n">
        <v>28778.31</v>
      </c>
      <c r="M132" s="6" t="s">
        <v>364</v>
      </c>
    </row>
    <row r="133" customFormat="false" ht="15" hidden="false" customHeight="false" outlineLevel="0" collapsed="false">
      <c r="A133" s="6" t="s">
        <v>365</v>
      </c>
      <c r="B133" s="6" t="s">
        <v>355</v>
      </c>
      <c r="C133" s="6" t="s">
        <v>356</v>
      </c>
      <c r="D133" s="6" t="s">
        <v>194</v>
      </c>
      <c r="E133" s="6" t="s">
        <v>48</v>
      </c>
      <c r="F133" s="6" t="s">
        <v>54</v>
      </c>
      <c r="G133" s="6" t="s">
        <v>50</v>
      </c>
      <c r="H133" s="6" t="s">
        <v>77</v>
      </c>
      <c r="I133" s="7" t="n">
        <v>10.29</v>
      </c>
      <c r="J133" s="8" t="n">
        <v>843.2</v>
      </c>
      <c r="K133" s="7" t="n">
        <v>9.06</v>
      </c>
      <c r="L133" s="7" t="n">
        <v>7639.68</v>
      </c>
      <c r="M133" s="6" t="s">
        <v>366</v>
      </c>
    </row>
    <row r="134" customFormat="false" ht="15" hidden="false" customHeight="false" outlineLevel="0" collapsed="false">
      <c r="A134" s="6" t="s">
        <v>367</v>
      </c>
      <c r="B134" s="6" t="s">
        <v>355</v>
      </c>
      <c r="C134" s="6" t="s">
        <v>356</v>
      </c>
      <c r="D134" s="6" t="s">
        <v>194</v>
      </c>
      <c r="E134" s="6" t="s">
        <v>48</v>
      </c>
      <c r="F134" s="6" t="s">
        <v>65</v>
      </c>
      <c r="G134" s="6" t="s">
        <v>66</v>
      </c>
      <c r="H134" s="6" t="s">
        <v>77</v>
      </c>
      <c r="I134" s="7" t="n">
        <v>31.65</v>
      </c>
      <c r="J134" s="8" t="n">
        <v>1348.4</v>
      </c>
      <c r="K134" s="7" t="n">
        <v>29.12</v>
      </c>
      <c r="L134" s="7" t="n">
        <v>39265.42</v>
      </c>
      <c r="M134" s="6" t="s">
        <v>320</v>
      </c>
    </row>
    <row r="135" customFormat="false" ht="15" hidden="false" customHeight="false" outlineLevel="0" collapsed="false">
      <c r="A135" s="6" t="s">
        <v>368</v>
      </c>
      <c r="B135" s="6" t="s">
        <v>355</v>
      </c>
      <c r="C135" s="6" t="s">
        <v>356</v>
      </c>
      <c r="D135" s="6" t="s">
        <v>194</v>
      </c>
      <c r="E135" s="6" t="s">
        <v>48</v>
      </c>
      <c r="F135" s="6" t="s">
        <v>54</v>
      </c>
      <c r="G135" s="6" t="s">
        <v>147</v>
      </c>
      <c r="H135" s="6" t="s">
        <v>55</v>
      </c>
      <c r="I135" s="7" t="n">
        <v>10.75</v>
      </c>
      <c r="J135" s="8" t="n">
        <v>1116.5</v>
      </c>
      <c r="K135" s="7" t="n">
        <v>10.73</v>
      </c>
      <c r="L135" s="7" t="n">
        <v>11979.68</v>
      </c>
      <c r="M135" s="6" t="s">
        <v>369</v>
      </c>
    </row>
    <row r="136" customFormat="false" ht="15" hidden="false" customHeight="false" outlineLevel="0" collapsed="false">
      <c r="A136" s="6" t="s">
        <v>370</v>
      </c>
      <c r="B136" s="6" t="s">
        <v>355</v>
      </c>
      <c r="C136" s="6" t="s">
        <v>356</v>
      </c>
      <c r="D136" s="6" t="s">
        <v>194</v>
      </c>
      <c r="E136" s="6" t="s">
        <v>48</v>
      </c>
      <c r="F136" s="6" t="s">
        <v>49</v>
      </c>
      <c r="G136" s="6" t="s">
        <v>66</v>
      </c>
      <c r="H136" s="6" t="s">
        <v>77</v>
      </c>
      <c r="I136" s="7" t="n">
        <v>29.83</v>
      </c>
      <c r="J136" s="8" t="n">
        <v>801.6</v>
      </c>
      <c r="K136" s="7" t="n">
        <v>27.45</v>
      </c>
      <c r="L136" s="7" t="n">
        <v>22004.23</v>
      </c>
      <c r="M136" s="6" t="s">
        <v>371</v>
      </c>
    </row>
    <row r="137" customFormat="false" ht="15" hidden="false" customHeight="false" outlineLevel="0" collapsed="false">
      <c r="A137" s="6" t="s">
        <v>372</v>
      </c>
      <c r="B137" s="6" t="s">
        <v>355</v>
      </c>
      <c r="C137" s="6" t="s">
        <v>356</v>
      </c>
      <c r="D137" s="6" t="s">
        <v>194</v>
      </c>
      <c r="E137" s="6" t="s">
        <v>48</v>
      </c>
      <c r="F137" s="6" t="s">
        <v>88</v>
      </c>
      <c r="G137" s="6" t="s">
        <v>62</v>
      </c>
      <c r="H137" s="6" t="s">
        <v>55</v>
      </c>
      <c r="I137" s="7" t="n">
        <v>27.23</v>
      </c>
      <c r="J137" s="8" t="n">
        <v>1050.9</v>
      </c>
      <c r="K137" s="7" t="n">
        <v>21.44</v>
      </c>
      <c r="L137" s="7" t="n">
        <v>22532.12</v>
      </c>
      <c r="M137" s="6" t="s">
        <v>373</v>
      </c>
    </row>
    <row r="138" customFormat="false" ht="15" hidden="false" customHeight="false" outlineLevel="0" collapsed="false">
      <c r="A138" s="6" t="s">
        <v>374</v>
      </c>
      <c r="B138" s="6" t="s">
        <v>355</v>
      </c>
      <c r="C138" s="6" t="s">
        <v>356</v>
      </c>
      <c r="D138" s="6" t="s">
        <v>194</v>
      </c>
      <c r="E138" s="6" t="s">
        <v>48</v>
      </c>
      <c r="F138" s="6" t="s">
        <v>65</v>
      </c>
      <c r="G138" s="6" t="s">
        <v>50</v>
      </c>
      <c r="H138" s="6" t="s">
        <v>55</v>
      </c>
      <c r="I138" s="7" t="n">
        <v>31.03</v>
      </c>
      <c r="J138" s="8" t="n">
        <v>1613</v>
      </c>
      <c r="K138" s="7" t="n">
        <v>28.67</v>
      </c>
      <c r="L138" s="7" t="n">
        <v>46244.82</v>
      </c>
      <c r="M138" s="6" t="s">
        <v>63</v>
      </c>
    </row>
    <row r="139" customFormat="false" ht="15" hidden="false" customHeight="false" outlineLevel="0" collapsed="false">
      <c r="A139" s="6" t="s">
        <v>375</v>
      </c>
      <c r="B139" s="6" t="s">
        <v>376</v>
      </c>
      <c r="C139" s="6" t="s">
        <v>377</v>
      </c>
      <c r="D139" s="6" t="s">
        <v>144</v>
      </c>
      <c r="E139" s="6" t="s">
        <v>48</v>
      </c>
      <c r="F139" s="6" t="s">
        <v>61</v>
      </c>
      <c r="G139" s="6" t="s">
        <v>62</v>
      </c>
      <c r="H139" s="6" t="s">
        <v>55</v>
      </c>
      <c r="I139" s="7" t="n">
        <v>39.56</v>
      </c>
      <c r="J139" s="8" t="n">
        <v>565</v>
      </c>
      <c r="K139" s="7" t="n">
        <v>31.15</v>
      </c>
      <c r="L139" s="7" t="n">
        <v>17600.16</v>
      </c>
      <c r="M139" s="6" t="s">
        <v>378</v>
      </c>
    </row>
    <row r="140" customFormat="false" ht="15" hidden="false" customHeight="false" outlineLevel="0" collapsed="false">
      <c r="A140" s="6" t="s">
        <v>379</v>
      </c>
      <c r="B140" s="6" t="s">
        <v>376</v>
      </c>
      <c r="C140" s="6" t="s">
        <v>377</v>
      </c>
      <c r="D140" s="6" t="s">
        <v>144</v>
      </c>
      <c r="E140" s="6" t="s">
        <v>48</v>
      </c>
      <c r="F140" s="6" t="s">
        <v>61</v>
      </c>
      <c r="G140" s="6" t="s">
        <v>62</v>
      </c>
      <c r="H140" s="6" t="s">
        <v>55</v>
      </c>
      <c r="I140" s="7" t="n">
        <v>39.05</v>
      </c>
      <c r="J140" s="8" t="n">
        <v>1116.8</v>
      </c>
      <c r="K140" s="7" t="n">
        <v>30.75</v>
      </c>
      <c r="L140" s="7" t="n">
        <v>34340.92</v>
      </c>
      <c r="M140" s="6" t="s">
        <v>380</v>
      </c>
    </row>
    <row r="141" customFormat="false" ht="15" hidden="false" customHeight="false" outlineLevel="0" collapsed="false">
      <c r="A141" s="6" t="s">
        <v>381</v>
      </c>
      <c r="B141" s="6" t="s">
        <v>376</v>
      </c>
      <c r="C141" s="6" t="s">
        <v>377</v>
      </c>
      <c r="D141" s="6" t="s">
        <v>144</v>
      </c>
      <c r="E141" s="6" t="s">
        <v>48</v>
      </c>
      <c r="F141" s="6" t="s">
        <v>88</v>
      </c>
      <c r="G141" s="6" t="s">
        <v>66</v>
      </c>
      <c r="H141" s="6" t="s">
        <v>77</v>
      </c>
      <c r="I141" s="7" t="n">
        <v>29.73</v>
      </c>
      <c r="J141" s="8" t="n">
        <v>1173.5</v>
      </c>
      <c r="K141" s="7" t="n">
        <v>27.35</v>
      </c>
      <c r="L141" s="7" t="n">
        <v>32094.56</v>
      </c>
      <c r="M141" s="6" t="s">
        <v>382</v>
      </c>
    </row>
    <row r="142" customFormat="false" ht="15" hidden="false" customHeight="false" outlineLevel="0" collapsed="false">
      <c r="A142" s="6" t="s">
        <v>383</v>
      </c>
      <c r="B142" s="6" t="s">
        <v>376</v>
      </c>
      <c r="C142" s="6" t="s">
        <v>377</v>
      </c>
      <c r="D142" s="6" t="s">
        <v>144</v>
      </c>
      <c r="E142" s="6" t="s">
        <v>48</v>
      </c>
      <c r="F142" s="6" t="s">
        <v>65</v>
      </c>
      <c r="G142" s="6" t="s">
        <v>66</v>
      </c>
      <c r="H142" s="6" t="s">
        <v>51</v>
      </c>
      <c r="I142" s="7" t="n">
        <v>31.07</v>
      </c>
      <c r="J142" s="8" t="n">
        <v>885.2</v>
      </c>
      <c r="K142" s="7" t="n">
        <v>27.16</v>
      </c>
      <c r="L142" s="7" t="n">
        <v>24041.95</v>
      </c>
      <c r="M142" s="6" t="s">
        <v>289</v>
      </c>
    </row>
    <row r="143" customFormat="false" ht="15" hidden="false" customHeight="false" outlineLevel="0" collapsed="false">
      <c r="A143" s="6" t="s">
        <v>384</v>
      </c>
      <c r="B143" s="6" t="s">
        <v>376</v>
      </c>
      <c r="C143" s="6" t="s">
        <v>377</v>
      </c>
      <c r="D143" s="6" t="s">
        <v>144</v>
      </c>
      <c r="E143" s="6" t="s">
        <v>48</v>
      </c>
      <c r="F143" s="6" t="s">
        <v>61</v>
      </c>
      <c r="G143" s="6" t="s">
        <v>66</v>
      </c>
      <c r="H143" s="6" t="s">
        <v>55</v>
      </c>
      <c r="I143" s="7" t="n">
        <v>39.18</v>
      </c>
      <c r="J143" s="8" t="n">
        <v>1501.5</v>
      </c>
      <c r="K143" s="7" t="n">
        <v>37.84</v>
      </c>
      <c r="L143" s="7" t="n">
        <v>56817.8</v>
      </c>
      <c r="M143" s="6" t="s">
        <v>179</v>
      </c>
    </row>
    <row r="144" customFormat="false" ht="15" hidden="false" customHeight="false" outlineLevel="0" collapsed="false">
      <c r="A144" s="6" t="s">
        <v>385</v>
      </c>
      <c r="B144" s="6" t="s">
        <v>376</v>
      </c>
      <c r="C144" s="6" t="s">
        <v>377</v>
      </c>
      <c r="D144" s="6" t="s">
        <v>144</v>
      </c>
      <c r="E144" s="6" t="s">
        <v>48</v>
      </c>
      <c r="F144" s="6" t="s">
        <v>49</v>
      </c>
      <c r="G144" s="6" t="s">
        <v>50</v>
      </c>
      <c r="H144" s="6" t="s">
        <v>55</v>
      </c>
      <c r="I144" s="7" t="n">
        <v>27.46</v>
      </c>
      <c r="J144" s="8" t="n">
        <v>1348.7</v>
      </c>
      <c r="K144" s="7" t="n">
        <v>25.38</v>
      </c>
      <c r="L144" s="7" t="n">
        <v>34228.86</v>
      </c>
      <c r="M144" s="6" t="s">
        <v>320</v>
      </c>
    </row>
    <row r="145" customFormat="false" ht="15" hidden="false" customHeight="false" outlineLevel="0" collapsed="false">
      <c r="A145" s="6" t="s">
        <v>386</v>
      </c>
      <c r="B145" s="6" t="s">
        <v>376</v>
      </c>
      <c r="C145" s="6" t="s">
        <v>377</v>
      </c>
      <c r="D145" s="6" t="s">
        <v>144</v>
      </c>
      <c r="E145" s="6" t="s">
        <v>48</v>
      </c>
      <c r="F145" s="6" t="s">
        <v>61</v>
      </c>
      <c r="G145" s="6" t="s">
        <v>106</v>
      </c>
      <c r="H145" s="6" t="s">
        <v>51</v>
      </c>
      <c r="I145" s="7" t="n">
        <v>39.23</v>
      </c>
      <c r="J145" s="8" t="n">
        <v>1198.7</v>
      </c>
      <c r="K145" s="7" t="n">
        <v>24.22</v>
      </c>
      <c r="L145" s="7" t="n">
        <v>29031.98</v>
      </c>
      <c r="M145" s="6" t="s">
        <v>387</v>
      </c>
    </row>
    <row r="146" customFormat="false" ht="15" hidden="false" customHeight="false" outlineLevel="0" collapsed="false">
      <c r="A146" s="6" t="s">
        <v>388</v>
      </c>
      <c r="B146" s="6" t="s">
        <v>376</v>
      </c>
      <c r="C146" s="6" t="s">
        <v>377</v>
      </c>
      <c r="D146" s="6" t="s">
        <v>144</v>
      </c>
      <c r="E146" s="6" t="s">
        <v>48</v>
      </c>
      <c r="F146" s="6" t="s">
        <v>65</v>
      </c>
      <c r="G146" s="6" t="s">
        <v>50</v>
      </c>
      <c r="H146" s="6" t="s">
        <v>51</v>
      </c>
      <c r="I146" s="7" t="n">
        <v>31.73</v>
      </c>
      <c r="J146" s="8" t="n">
        <v>636.1</v>
      </c>
      <c r="K146" s="7" t="n">
        <v>26.52</v>
      </c>
      <c r="L146" s="7" t="n">
        <v>16869.47</v>
      </c>
      <c r="M146" s="6" t="s">
        <v>389</v>
      </c>
    </row>
    <row r="147" customFormat="false" ht="15" hidden="false" customHeight="false" outlineLevel="0" collapsed="false">
      <c r="A147" s="6" t="s">
        <v>390</v>
      </c>
      <c r="B147" s="6" t="s">
        <v>391</v>
      </c>
      <c r="C147" s="6" t="s">
        <v>392</v>
      </c>
      <c r="D147" s="6" t="s">
        <v>60</v>
      </c>
      <c r="E147" s="6" t="s">
        <v>48</v>
      </c>
      <c r="F147" s="6" t="s">
        <v>88</v>
      </c>
      <c r="G147" s="6" t="s">
        <v>66</v>
      </c>
      <c r="H147" s="6" t="s">
        <v>51</v>
      </c>
      <c r="I147" s="7" t="n">
        <v>29.9</v>
      </c>
      <c r="J147" s="8" t="n">
        <v>527.1</v>
      </c>
      <c r="K147" s="7" t="n">
        <v>26.14</v>
      </c>
      <c r="L147" s="7" t="n">
        <v>13778.45</v>
      </c>
      <c r="M147" s="6" t="s">
        <v>393</v>
      </c>
    </row>
    <row r="148" customFormat="false" ht="15" hidden="false" customHeight="false" outlineLevel="0" collapsed="false">
      <c r="A148" s="6" t="s">
        <v>394</v>
      </c>
      <c r="B148" s="6" t="s">
        <v>395</v>
      </c>
      <c r="C148" s="6" t="s">
        <v>396</v>
      </c>
      <c r="D148" s="6" t="s">
        <v>166</v>
      </c>
      <c r="E148" s="6" t="s">
        <v>48</v>
      </c>
      <c r="F148" s="6" t="s">
        <v>49</v>
      </c>
      <c r="G148" s="6" t="s">
        <v>106</v>
      </c>
      <c r="H148" s="6" t="s">
        <v>51</v>
      </c>
      <c r="I148" s="7" t="n">
        <v>28</v>
      </c>
      <c r="J148" s="8" t="n">
        <v>547.5</v>
      </c>
      <c r="K148" s="7" t="n">
        <v>17.29</v>
      </c>
      <c r="L148" s="7" t="n">
        <v>9466.06</v>
      </c>
      <c r="M148" s="6" t="s">
        <v>397</v>
      </c>
    </row>
    <row r="149" customFormat="false" ht="15" hidden="false" customHeight="false" outlineLevel="0" collapsed="false">
      <c r="A149" s="6" t="s">
        <v>398</v>
      </c>
      <c r="B149" s="6" t="s">
        <v>399</v>
      </c>
      <c r="C149" s="6" t="s">
        <v>400</v>
      </c>
      <c r="D149" s="6" t="s">
        <v>189</v>
      </c>
      <c r="E149" s="6" t="s">
        <v>48</v>
      </c>
      <c r="F149" s="6" t="s">
        <v>49</v>
      </c>
      <c r="G149" s="6" t="s">
        <v>147</v>
      </c>
      <c r="H149" s="6" t="s">
        <v>51</v>
      </c>
      <c r="I149" s="7" t="n">
        <v>29.61</v>
      </c>
      <c r="J149" s="8" t="n">
        <v>864</v>
      </c>
      <c r="K149" s="7" t="n">
        <v>26.72</v>
      </c>
      <c r="L149" s="7" t="n">
        <v>23086.73</v>
      </c>
      <c r="M149" s="6" t="s">
        <v>401</v>
      </c>
    </row>
    <row r="150" customFormat="false" ht="15" hidden="false" customHeight="false" outlineLevel="0" collapsed="false">
      <c r="A150" s="6" t="s">
        <v>402</v>
      </c>
      <c r="B150" s="6" t="s">
        <v>399</v>
      </c>
      <c r="C150" s="6" t="s">
        <v>400</v>
      </c>
      <c r="D150" s="6" t="s">
        <v>189</v>
      </c>
      <c r="E150" s="6" t="s">
        <v>48</v>
      </c>
      <c r="F150" s="6" t="s">
        <v>54</v>
      </c>
      <c r="G150" s="6" t="s">
        <v>147</v>
      </c>
      <c r="H150" s="6" t="s">
        <v>77</v>
      </c>
      <c r="I150" s="7" t="n">
        <v>10.98</v>
      </c>
      <c r="J150" s="8" t="n">
        <v>1181.8</v>
      </c>
      <c r="K150" s="7" t="n">
        <v>10.43</v>
      </c>
      <c r="L150" s="7" t="n">
        <v>12325.66</v>
      </c>
      <c r="M150" s="6" t="s">
        <v>199</v>
      </c>
    </row>
    <row r="151" customFormat="false" ht="15" hidden="false" customHeight="false" outlineLevel="0" collapsed="false">
      <c r="A151" s="6" t="s">
        <v>403</v>
      </c>
      <c r="B151" s="6" t="s">
        <v>399</v>
      </c>
      <c r="C151" s="6" t="s">
        <v>400</v>
      </c>
      <c r="D151" s="6" t="s">
        <v>189</v>
      </c>
      <c r="E151" s="6" t="s">
        <v>48</v>
      </c>
      <c r="F151" s="6" t="s">
        <v>88</v>
      </c>
      <c r="G151" s="6" t="s">
        <v>62</v>
      </c>
      <c r="H151" s="6" t="s">
        <v>51</v>
      </c>
      <c r="I151" s="7" t="n">
        <v>29.6</v>
      </c>
      <c r="J151" s="8" t="n">
        <v>654.9</v>
      </c>
      <c r="K151" s="7" t="n">
        <v>21.09</v>
      </c>
      <c r="L151" s="7" t="n">
        <v>13810.87</v>
      </c>
      <c r="M151" s="6" t="s">
        <v>404</v>
      </c>
    </row>
    <row r="152" customFormat="false" ht="15" hidden="false" customHeight="false" outlineLevel="0" collapsed="false">
      <c r="A152" s="6" t="s">
        <v>405</v>
      </c>
      <c r="B152" s="6" t="s">
        <v>406</v>
      </c>
      <c r="C152" s="6" t="s">
        <v>407</v>
      </c>
      <c r="D152" s="6" t="s">
        <v>87</v>
      </c>
      <c r="E152" s="6" t="s">
        <v>48</v>
      </c>
      <c r="F152" s="6" t="s">
        <v>54</v>
      </c>
      <c r="G152" s="6" t="s">
        <v>50</v>
      </c>
      <c r="H152" s="6" t="s">
        <v>51</v>
      </c>
      <c r="I152" s="7" t="n">
        <v>9.53</v>
      </c>
      <c r="J152" s="8" t="n">
        <v>781.7</v>
      </c>
      <c r="K152" s="7" t="n">
        <v>7.97</v>
      </c>
      <c r="L152" s="7" t="n">
        <v>6229.94</v>
      </c>
      <c r="M152" s="6" t="s">
        <v>397</v>
      </c>
    </row>
    <row r="153" customFormat="false" ht="15" hidden="false" customHeight="false" outlineLevel="0" collapsed="false">
      <c r="A153" s="6" t="s">
        <v>408</v>
      </c>
      <c r="B153" s="6" t="s">
        <v>406</v>
      </c>
      <c r="C153" s="6" t="s">
        <v>407</v>
      </c>
      <c r="D153" s="6" t="s">
        <v>87</v>
      </c>
      <c r="E153" s="6" t="s">
        <v>48</v>
      </c>
      <c r="F153" s="6" t="s">
        <v>65</v>
      </c>
      <c r="G153" s="6" t="s">
        <v>50</v>
      </c>
      <c r="H153" s="6" t="s">
        <v>55</v>
      </c>
      <c r="I153" s="7" t="n">
        <v>32.03</v>
      </c>
      <c r="J153" s="8" t="n">
        <v>380.1</v>
      </c>
      <c r="K153" s="7" t="n">
        <v>29.59</v>
      </c>
      <c r="L153" s="7" t="n">
        <v>11245.71</v>
      </c>
      <c r="M153" s="6" t="s">
        <v>409</v>
      </c>
    </row>
    <row r="154" customFormat="false" ht="15" hidden="false" customHeight="false" outlineLevel="0" collapsed="false">
      <c r="A154" s="6" t="s">
        <v>410</v>
      </c>
      <c r="B154" s="6" t="s">
        <v>406</v>
      </c>
      <c r="C154" s="6" t="s">
        <v>407</v>
      </c>
      <c r="D154" s="6" t="s">
        <v>87</v>
      </c>
      <c r="E154" s="6" t="s">
        <v>48</v>
      </c>
      <c r="F154" s="6" t="s">
        <v>65</v>
      </c>
      <c r="G154" s="6" t="s">
        <v>50</v>
      </c>
      <c r="H154" s="6" t="s">
        <v>77</v>
      </c>
      <c r="I154" s="7" t="n">
        <v>31.09</v>
      </c>
      <c r="J154" s="8" t="n">
        <v>684.5</v>
      </c>
      <c r="K154" s="7" t="n">
        <v>27.36</v>
      </c>
      <c r="L154" s="7" t="n">
        <v>18728.8</v>
      </c>
      <c r="M154" s="6" t="s">
        <v>364</v>
      </c>
    </row>
    <row r="155" customFormat="false" ht="15" hidden="false" customHeight="false" outlineLevel="0" collapsed="false">
      <c r="A155" s="6" t="s">
        <v>411</v>
      </c>
      <c r="B155" s="6" t="s">
        <v>406</v>
      </c>
      <c r="C155" s="6" t="s">
        <v>407</v>
      </c>
      <c r="D155" s="6" t="s">
        <v>87</v>
      </c>
      <c r="E155" s="6" t="s">
        <v>48</v>
      </c>
      <c r="F155" s="6" t="s">
        <v>49</v>
      </c>
      <c r="G155" s="6" t="s">
        <v>66</v>
      </c>
      <c r="H155" s="6" t="s">
        <v>77</v>
      </c>
      <c r="I155" s="7" t="n">
        <v>29.54</v>
      </c>
      <c r="J155" s="8" t="n">
        <v>642.6</v>
      </c>
      <c r="K155" s="7" t="n">
        <v>27.18</v>
      </c>
      <c r="L155" s="7" t="n">
        <v>17465.58</v>
      </c>
      <c r="M155" s="6" t="s">
        <v>412</v>
      </c>
    </row>
    <row r="156" customFormat="false" ht="15" hidden="false" customHeight="false" outlineLevel="0" collapsed="false">
      <c r="A156" s="6" t="s">
        <v>413</v>
      </c>
      <c r="B156" s="6" t="s">
        <v>406</v>
      </c>
      <c r="C156" s="6" t="s">
        <v>407</v>
      </c>
      <c r="D156" s="6" t="s">
        <v>87</v>
      </c>
      <c r="E156" s="6" t="s">
        <v>48</v>
      </c>
      <c r="F156" s="6" t="s">
        <v>61</v>
      </c>
      <c r="G156" s="6" t="s">
        <v>50</v>
      </c>
      <c r="H156" s="6" t="s">
        <v>77</v>
      </c>
      <c r="I156" s="7" t="n">
        <v>37.68</v>
      </c>
      <c r="J156" s="8" t="n">
        <v>1049</v>
      </c>
      <c r="K156" s="7" t="n">
        <v>33.16</v>
      </c>
      <c r="L156" s="7" t="n">
        <v>34785.08</v>
      </c>
      <c r="M156" s="6" t="s">
        <v>335</v>
      </c>
    </row>
    <row r="157" customFormat="false" ht="15" hidden="false" customHeight="false" outlineLevel="0" collapsed="false">
      <c r="A157" s="6" t="s">
        <v>414</v>
      </c>
      <c r="B157" s="6" t="s">
        <v>406</v>
      </c>
      <c r="C157" s="6" t="s">
        <v>407</v>
      </c>
      <c r="D157" s="6" t="s">
        <v>87</v>
      </c>
      <c r="E157" s="6" t="s">
        <v>48</v>
      </c>
      <c r="F157" s="6" t="s">
        <v>88</v>
      </c>
      <c r="G157" s="6" t="s">
        <v>147</v>
      </c>
      <c r="H157" s="6" t="s">
        <v>55</v>
      </c>
      <c r="I157" s="7" t="n">
        <v>28.65</v>
      </c>
      <c r="J157" s="8" t="n">
        <v>680.8</v>
      </c>
      <c r="K157" s="7" t="n">
        <v>28.57</v>
      </c>
      <c r="L157" s="7" t="n">
        <v>19451.62</v>
      </c>
      <c r="M157" s="6" t="s">
        <v>245</v>
      </c>
    </row>
    <row r="158" customFormat="false" ht="15" hidden="false" customHeight="false" outlineLevel="0" collapsed="false">
      <c r="A158" s="6" t="s">
        <v>415</v>
      </c>
      <c r="B158" s="6" t="s">
        <v>406</v>
      </c>
      <c r="C158" s="6" t="s">
        <v>407</v>
      </c>
      <c r="D158" s="6" t="s">
        <v>87</v>
      </c>
      <c r="E158" s="6" t="s">
        <v>48</v>
      </c>
      <c r="F158" s="6" t="s">
        <v>65</v>
      </c>
      <c r="G158" s="6" t="s">
        <v>106</v>
      </c>
      <c r="H158" s="6" t="s">
        <v>55</v>
      </c>
      <c r="I158" s="7" t="n">
        <v>31.91</v>
      </c>
      <c r="J158" s="8" t="n">
        <v>693</v>
      </c>
      <c r="K158" s="7" t="n">
        <v>21.78</v>
      </c>
      <c r="L158" s="7" t="n">
        <v>15094.49</v>
      </c>
      <c r="M158" s="6" t="s">
        <v>416</v>
      </c>
    </row>
    <row r="159" customFormat="false" ht="15" hidden="false" customHeight="false" outlineLevel="0" collapsed="false">
      <c r="A159" s="6" t="s">
        <v>417</v>
      </c>
      <c r="B159" s="6" t="s">
        <v>406</v>
      </c>
      <c r="C159" s="6" t="s">
        <v>407</v>
      </c>
      <c r="D159" s="6" t="s">
        <v>87</v>
      </c>
      <c r="E159" s="6" t="s">
        <v>48</v>
      </c>
      <c r="F159" s="6" t="s">
        <v>65</v>
      </c>
      <c r="G159" s="6" t="s">
        <v>106</v>
      </c>
      <c r="H159" s="6" t="s">
        <v>55</v>
      </c>
      <c r="I159" s="7" t="n">
        <v>32.54</v>
      </c>
      <c r="J159" s="8" t="n">
        <v>1027.1</v>
      </c>
      <c r="K159" s="7" t="n">
        <v>22.21</v>
      </c>
      <c r="L159" s="7" t="n">
        <v>22812.8</v>
      </c>
      <c r="M159" s="6" t="s">
        <v>418</v>
      </c>
    </row>
    <row r="160" customFormat="false" ht="15" hidden="false" customHeight="false" outlineLevel="0" collapsed="false">
      <c r="A160" s="6" t="s">
        <v>419</v>
      </c>
      <c r="B160" s="6" t="s">
        <v>406</v>
      </c>
      <c r="C160" s="6" t="s">
        <v>407</v>
      </c>
      <c r="D160" s="6" t="s">
        <v>87</v>
      </c>
      <c r="E160" s="6" t="s">
        <v>48</v>
      </c>
      <c r="F160" s="6" t="s">
        <v>65</v>
      </c>
      <c r="G160" s="6" t="s">
        <v>50</v>
      </c>
      <c r="H160" s="6" t="s">
        <v>51</v>
      </c>
      <c r="I160" s="7" t="n">
        <v>31.68</v>
      </c>
      <c r="J160" s="8" t="n">
        <v>947.7</v>
      </c>
      <c r="K160" s="7" t="n">
        <v>26.48</v>
      </c>
      <c r="L160" s="7" t="n">
        <v>25095.97</v>
      </c>
      <c r="M160" s="6" t="s">
        <v>393</v>
      </c>
    </row>
    <row r="161" customFormat="false" ht="15" hidden="false" customHeight="false" outlineLevel="0" collapsed="false">
      <c r="A161" s="6" t="s">
        <v>420</v>
      </c>
      <c r="B161" s="6" t="s">
        <v>406</v>
      </c>
      <c r="C161" s="6" t="s">
        <v>407</v>
      </c>
      <c r="D161" s="6" t="s">
        <v>87</v>
      </c>
      <c r="E161" s="6" t="s">
        <v>48</v>
      </c>
      <c r="F161" s="6" t="s">
        <v>65</v>
      </c>
      <c r="G161" s="6" t="s">
        <v>50</v>
      </c>
      <c r="H161" s="6" t="s">
        <v>55</v>
      </c>
      <c r="I161" s="7" t="n">
        <v>31.75</v>
      </c>
      <c r="J161" s="8" t="n">
        <v>658.6</v>
      </c>
      <c r="K161" s="7" t="n">
        <v>29.34</v>
      </c>
      <c r="L161" s="7" t="n">
        <v>19322.47</v>
      </c>
      <c r="M161" s="6" t="s">
        <v>421</v>
      </c>
    </row>
    <row r="162" customFormat="false" ht="15" hidden="false" customHeight="false" outlineLevel="0" collapsed="false">
      <c r="A162" s="6" t="s">
        <v>422</v>
      </c>
      <c r="B162" s="6" t="s">
        <v>406</v>
      </c>
      <c r="C162" s="6" t="s">
        <v>407</v>
      </c>
      <c r="D162" s="6" t="s">
        <v>87</v>
      </c>
      <c r="E162" s="6" t="s">
        <v>48</v>
      </c>
      <c r="F162" s="6" t="s">
        <v>65</v>
      </c>
      <c r="G162" s="6" t="s">
        <v>66</v>
      </c>
      <c r="H162" s="6" t="s">
        <v>77</v>
      </c>
      <c r="I162" s="7" t="n">
        <v>31.19</v>
      </c>
      <c r="J162" s="8" t="n">
        <v>795.2</v>
      </c>
      <c r="K162" s="7" t="n">
        <v>28.69</v>
      </c>
      <c r="L162" s="7" t="n">
        <v>22813.72</v>
      </c>
      <c r="M162" s="6" t="s">
        <v>423</v>
      </c>
    </row>
    <row r="163" customFormat="false" ht="15" hidden="false" customHeight="false" outlineLevel="0" collapsed="false">
      <c r="A163" s="6" t="s">
        <v>424</v>
      </c>
      <c r="B163" s="6" t="s">
        <v>406</v>
      </c>
      <c r="C163" s="6" t="s">
        <v>407</v>
      </c>
      <c r="D163" s="6" t="s">
        <v>87</v>
      </c>
      <c r="E163" s="6" t="s">
        <v>48</v>
      </c>
      <c r="F163" s="6" t="s">
        <v>88</v>
      </c>
      <c r="G163" s="6" t="s">
        <v>50</v>
      </c>
      <c r="H163" s="6" t="s">
        <v>55</v>
      </c>
      <c r="I163" s="7" t="n">
        <v>27.99</v>
      </c>
      <c r="J163" s="8" t="n">
        <v>852.7</v>
      </c>
      <c r="K163" s="7" t="n">
        <v>25.86</v>
      </c>
      <c r="L163" s="7" t="n">
        <v>22050.43</v>
      </c>
      <c r="M163" s="6" t="s">
        <v>425</v>
      </c>
    </row>
    <row r="164" customFormat="false" ht="15" hidden="false" customHeight="false" outlineLevel="0" collapsed="false">
      <c r="A164" s="6" t="s">
        <v>426</v>
      </c>
      <c r="B164" s="6" t="s">
        <v>406</v>
      </c>
      <c r="C164" s="6" t="s">
        <v>407</v>
      </c>
      <c r="D164" s="6" t="s">
        <v>87</v>
      </c>
      <c r="E164" s="6" t="s">
        <v>48</v>
      </c>
      <c r="F164" s="6" t="s">
        <v>65</v>
      </c>
      <c r="G164" s="6" t="s">
        <v>50</v>
      </c>
      <c r="H164" s="6" t="s">
        <v>55</v>
      </c>
      <c r="I164" s="7" t="n">
        <v>32.5</v>
      </c>
      <c r="J164" s="8" t="n">
        <v>481.2</v>
      </c>
      <c r="K164" s="7" t="n">
        <v>30.03</v>
      </c>
      <c r="L164" s="7" t="n">
        <v>14449.01</v>
      </c>
      <c r="M164" s="6" t="s">
        <v>220</v>
      </c>
    </row>
    <row r="165" customFormat="false" ht="15" hidden="false" customHeight="false" outlineLevel="0" collapsed="false">
      <c r="A165" s="6" t="s">
        <v>427</v>
      </c>
      <c r="B165" s="6" t="s">
        <v>406</v>
      </c>
      <c r="C165" s="6" t="s">
        <v>407</v>
      </c>
      <c r="D165" s="6" t="s">
        <v>87</v>
      </c>
      <c r="E165" s="6" t="s">
        <v>48</v>
      </c>
      <c r="F165" s="6" t="s">
        <v>88</v>
      </c>
      <c r="G165" s="6" t="s">
        <v>50</v>
      </c>
      <c r="H165" s="6" t="s">
        <v>51</v>
      </c>
      <c r="I165" s="7" t="n">
        <v>28.97</v>
      </c>
      <c r="J165" s="8" t="n">
        <v>576.9</v>
      </c>
      <c r="K165" s="7" t="n">
        <v>24.22</v>
      </c>
      <c r="L165" s="7" t="n">
        <v>13972.16</v>
      </c>
      <c r="M165" s="6" t="s">
        <v>148</v>
      </c>
    </row>
    <row r="166" customFormat="false" ht="15" hidden="false" customHeight="false" outlineLevel="0" collapsed="false">
      <c r="A166" s="6" t="s">
        <v>428</v>
      </c>
      <c r="B166" s="6" t="s">
        <v>406</v>
      </c>
      <c r="C166" s="6" t="s">
        <v>407</v>
      </c>
      <c r="D166" s="6" t="s">
        <v>87</v>
      </c>
      <c r="E166" s="6" t="s">
        <v>48</v>
      </c>
      <c r="F166" s="6" t="s">
        <v>61</v>
      </c>
      <c r="G166" s="6" t="s">
        <v>50</v>
      </c>
      <c r="H166" s="6" t="s">
        <v>55</v>
      </c>
      <c r="I166" s="7" t="n">
        <v>37.79</v>
      </c>
      <c r="J166" s="8" t="n">
        <v>622.2</v>
      </c>
      <c r="K166" s="7" t="n">
        <v>34.92</v>
      </c>
      <c r="L166" s="7" t="n">
        <v>21725.78</v>
      </c>
      <c r="M166" s="6" t="s">
        <v>297</v>
      </c>
    </row>
    <row r="167" customFormat="false" ht="15" hidden="false" customHeight="false" outlineLevel="0" collapsed="false">
      <c r="A167" s="6" t="s">
        <v>429</v>
      </c>
      <c r="B167" s="6" t="s">
        <v>406</v>
      </c>
      <c r="C167" s="6" t="s">
        <v>407</v>
      </c>
      <c r="D167" s="6" t="s">
        <v>87</v>
      </c>
      <c r="E167" s="6" t="s">
        <v>48</v>
      </c>
      <c r="F167" s="6" t="s">
        <v>49</v>
      </c>
      <c r="G167" s="6" t="s">
        <v>50</v>
      </c>
      <c r="H167" s="6" t="s">
        <v>55</v>
      </c>
      <c r="I167" s="7" t="n">
        <v>28.87</v>
      </c>
      <c r="J167" s="8" t="n">
        <v>780.2</v>
      </c>
      <c r="K167" s="7" t="n">
        <v>26.67</v>
      </c>
      <c r="L167" s="7" t="n">
        <v>20807.33</v>
      </c>
      <c r="M167" s="6" t="s">
        <v>430</v>
      </c>
    </row>
    <row r="168" customFormat="false" ht="15" hidden="false" customHeight="false" outlineLevel="0" collapsed="false">
      <c r="A168" s="6" t="s">
        <v>431</v>
      </c>
      <c r="B168" s="6" t="s">
        <v>406</v>
      </c>
      <c r="C168" s="6" t="s">
        <v>407</v>
      </c>
      <c r="D168" s="6" t="s">
        <v>87</v>
      </c>
      <c r="E168" s="6" t="s">
        <v>48</v>
      </c>
      <c r="F168" s="6" t="s">
        <v>49</v>
      </c>
      <c r="G168" s="6" t="s">
        <v>66</v>
      </c>
      <c r="H168" s="6" t="s">
        <v>77</v>
      </c>
      <c r="I168" s="7" t="n">
        <v>29.49</v>
      </c>
      <c r="J168" s="8" t="n">
        <v>978.8</v>
      </c>
      <c r="K168" s="7" t="n">
        <v>27.13</v>
      </c>
      <c r="L168" s="7" t="n">
        <v>26555.49</v>
      </c>
      <c r="M168" s="6" t="s">
        <v>282</v>
      </c>
    </row>
    <row r="169" customFormat="false" ht="15" hidden="false" customHeight="false" outlineLevel="0" collapsed="false">
      <c r="A169" s="6" t="s">
        <v>432</v>
      </c>
      <c r="B169" s="6" t="s">
        <v>406</v>
      </c>
      <c r="C169" s="6" t="s">
        <v>407</v>
      </c>
      <c r="D169" s="6" t="s">
        <v>87</v>
      </c>
      <c r="E169" s="6" t="s">
        <v>48</v>
      </c>
      <c r="F169" s="6" t="s">
        <v>61</v>
      </c>
      <c r="G169" s="6" t="s">
        <v>147</v>
      </c>
      <c r="H169" s="6" t="s">
        <v>51</v>
      </c>
      <c r="I169" s="7" t="n">
        <v>37.52</v>
      </c>
      <c r="J169" s="8" t="n">
        <v>892.2</v>
      </c>
      <c r="K169" s="7" t="n">
        <v>33.86</v>
      </c>
      <c r="L169" s="7" t="n">
        <v>30211.15</v>
      </c>
      <c r="M169" s="6" t="s">
        <v>433</v>
      </c>
    </row>
    <row r="170" customFormat="false" ht="15" hidden="false" customHeight="false" outlineLevel="0" collapsed="false">
      <c r="A170" s="6" t="s">
        <v>434</v>
      </c>
      <c r="B170" s="6" t="s">
        <v>435</v>
      </c>
      <c r="C170" s="6" t="s">
        <v>436</v>
      </c>
      <c r="D170" s="6" t="s">
        <v>60</v>
      </c>
      <c r="E170" s="6" t="s">
        <v>48</v>
      </c>
      <c r="F170" s="6" t="s">
        <v>49</v>
      </c>
      <c r="G170" s="6" t="s">
        <v>62</v>
      </c>
      <c r="H170" s="6" t="s">
        <v>77</v>
      </c>
      <c r="I170" s="7" t="n">
        <v>27.28</v>
      </c>
      <c r="J170" s="8" t="n">
        <v>641.6</v>
      </c>
      <c r="K170" s="7" t="n">
        <v>20.46</v>
      </c>
      <c r="L170" s="7" t="n">
        <v>13127.98</v>
      </c>
      <c r="M170" s="6" t="s">
        <v>437</v>
      </c>
    </row>
    <row r="171" customFormat="false" ht="15" hidden="false" customHeight="false" outlineLevel="0" collapsed="false">
      <c r="A171" s="6" t="s">
        <v>438</v>
      </c>
      <c r="B171" s="6" t="s">
        <v>435</v>
      </c>
      <c r="C171" s="6" t="s">
        <v>436</v>
      </c>
      <c r="D171" s="6" t="s">
        <v>60</v>
      </c>
      <c r="E171" s="6" t="s">
        <v>48</v>
      </c>
      <c r="F171" s="6" t="s">
        <v>54</v>
      </c>
      <c r="G171" s="6" t="s">
        <v>50</v>
      </c>
      <c r="H171" s="6" t="s">
        <v>55</v>
      </c>
      <c r="I171" s="7" t="n">
        <v>9.31</v>
      </c>
      <c r="J171" s="8" t="n">
        <v>619.4</v>
      </c>
      <c r="K171" s="7" t="n">
        <v>8.61</v>
      </c>
      <c r="L171" s="7" t="n">
        <v>5332.85</v>
      </c>
      <c r="M171" s="6" t="s">
        <v>439</v>
      </c>
    </row>
    <row r="172" customFormat="false" ht="15" hidden="false" customHeight="false" outlineLevel="0" collapsed="false">
      <c r="A172" s="6" t="s">
        <v>440</v>
      </c>
      <c r="B172" s="6" t="s">
        <v>435</v>
      </c>
      <c r="C172" s="6" t="s">
        <v>436</v>
      </c>
      <c r="D172" s="6" t="s">
        <v>60</v>
      </c>
      <c r="E172" s="6" t="s">
        <v>48</v>
      </c>
      <c r="F172" s="6" t="s">
        <v>88</v>
      </c>
      <c r="G172" s="6" t="s">
        <v>66</v>
      </c>
      <c r="H172" s="6" t="s">
        <v>51</v>
      </c>
      <c r="I172" s="7" t="n">
        <v>27.47</v>
      </c>
      <c r="J172" s="8" t="n">
        <v>729.2</v>
      </c>
      <c r="K172" s="7" t="n">
        <v>24.01</v>
      </c>
      <c r="L172" s="7" t="n">
        <v>17506.92</v>
      </c>
      <c r="M172" s="6" t="s">
        <v>441</v>
      </c>
    </row>
    <row r="173" customFormat="false" ht="15" hidden="false" customHeight="false" outlineLevel="0" collapsed="false">
      <c r="A173" s="6" t="s">
        <v>442</v>
      </c>
      <c r="B173" s="6" t="s">
        <v>435</v>
      </c>
      <c r="C173" s="6" t="s">
        <v>436</v>
      </c>
      <c r="D173" s="6" t="s">
        <v>60</v>
      </c>
      <c r="E173" s="6" t="s">
        <v>48</v>
      </c>
      <c r="F173" s="6" t="s">
        <v>61</v>
      </c>
      <c r="G173" s="6" t="s">
        <v>62</v>
      </c>
      <c r="H173" s="6" t="s">
        <v>51</v>
      </c>
      <c r="I173" s="7" t="n">
        <v>39.15</v>
      </c>
      <c r="J173" s="8" t="n">
        <v>500</v>
      </c>
      <c r="K173" s="7" t="n">
        <v>27.9</v>
      </c>
      <c r="L173" s="7" t="n">
        <v>13950</v>
      </c>
      <c r="M173" s="6" t="s">
        <v>443</v>
      </c>
    </row>
    <row r="174" customFormat="false" ht="15" hidden="false" customHeight="false" outlineLevel="0" collapsed="false">
      <c r="A174" s="6" t="s">
        <v>444</v>
      </c>
      <c r="B174" s="6" t="s">
        <v>435</v>
      </c>
      <c r="C174" s="6" t="s">
        <v>436</v>
      </c>
      <c r="D174" s="6" t="s">
        <v>60</v>
      </c>
      <c r="E174" s="6" t="s">
        <v>48</v>
      </c>
      <c r="F174" s="6" t="s">
        <v>49</v>
      </c>
      <c r="G174" s="6" t="s">
        <v>62</v>
      </c>
      <c r="H174" s="6" t="s">
        <v>51</v>
      </c>
      <c r="I174" s="7" t="n">
        <v>28.29</v>
      </c>
      <c r="J174" s="8" t="n">
        <v>531.2</v>
      </c>
      <c r="K174" s="7" t="n">
        <v>20.16</v>
      </c>
      <c r="L174" s="7" t="n">
        <v>10709.77</v>
      </c>
      <c r="M174" s="6" t="s">
        <v>445</v>
      </c>
    </row>
    <row r="175" customFormat="false" ht="15" hidden="false" customHeight="false" outlineLevel="0" collapsed="false">
      <c r="A175" s="6" t="s">
        <v>446</v>
      </c>
      <c r="B175" s="6" t="s">
        <v>435</v>
      </c>
      <c r="C175" s="6" t="s">
        <v>436</v>
      </c>
      <c r="D175" s="6" t="s">
        <v>60</v>
      </c>
      <c r="E175" s="6" t="s">
        <v>48</v>
      </c>
      <c r="F175" s="6" t="s">
        <v>49</v>
      </c>
      <c r="G175" s="6" t="s">
        <v>50</v>
      </c>
      <c r="H175" s="6" t="s">
        <v>55</v>
      </c>
      <c r="I175" s="7" t="n">
        <v>27.14</v>
      </c>
      <c r="J175" s="8" t="n">
        <v>743</v>
      </c>
      <c r="K175" s="7" t="n">
        <v>25.07</v>
      </c>
      <c r="L175" s="7" t="n">
        <v>18625.78</v>
      </c>
      <c r="M175" s="6" t="s">
        <v>447</v>
      </c>
    </row>
    <row r="176" customFormat="false" ht="15" hidden="false" customHeight="false" outlineLevel="0" collapsed="false">
      <c r="A176" s="6" t="s">
        <v>448</v>
      </c>
      <c r="B176" s="6" t="s">
        <v>435</v>
      </c>
      <c r="C176" s="6" t="s">
        <v>436</v>
      </c>
      <c r="D176" s="6" t="s">
        <v>60</v>
      </c>
      <c r="E176" s="6" t="s">
        <v>48</v>
      </c>
      <c r="F176" s="6" t="s">
        <v>49</v>
      </c>
      <c r="G176" s="6" t="s">
        <v>106</v>
      </c>
      <c r="H176" s="6" t="s">
        <v>55</v>
      </c>
      <c r="I176" s="7" t="n">
        <v>29.29</v>
      </c>
      <c r="J176" s="8" t="n">
        <v>815.3</v>
      </c>
      <c r="K176" s="7" t="n">
        <v>19.99</v>
      </c>
      <c r="L176" s="7" t="n">
        <v>16297.09</v>
      </c>
      <c r="M176" s="6" t="s">
        <v>449</v>
      </c>
    </row>
    <row r="177" customFormat="false" ht="15" hidden="false" customHeight="false" outlineLevel="0" collapsed="false">
      <c r="A177" s="6" t="s">
        <v>450</v>
      </c>
      <c r="B177" s="6" t="s">
        <v>435</v>
      </c>
      <c r="C177" s="6" t="s">
        <v>436</v>
      </c>
      <c r="D177" s="6" t="s">
        <v>60</v>
      </c>
      <c r="E177" s="6" t="s">
        <v>48</v>
      </c>
      <c r="F177" s="6" t="s">
        <v>88</v>
      </c>
      <c r="G177" s="6" t="s">
        <v>66</v>
      </c>
      <c r="H177" s="6" t="s">
        <v>55</v>
      </c>
      <c r="I177" s="7" t="n">
        <v>28.29</v>
      </c>
      <c r="J177" s="8" t="n">
        <v>731.4</v>
      </c>
      <c r="K177" s="7" t="n">
        <v>27.33</v>
      </c>
      <c r="L177" s="7" t="n">
        <v>19988.94</v>
      </c>
      <c r="M177" s="6" t="s">
        <v>451</v>
      </c>
    </row>
    <row r="178" customFormat="false" ht="15" hidden="false" customHeight="false" outlineLevel="0" collapsed="false">
      <c r="A178" s="6" t="s">
        <v>452</v>
      </c>
      <c r="B178" s="6" t="s">
        <v>435</v>
      </c>
      <c r="C178" s="6" t="s">
        <v>436</v>
      </c>
      <c r="D178" s="6" t="s">
        <v>60</v>
      </c>
      <c r="E178" s="6" t="s">
        <v>48</v>
      </c>
      <c r="F178" s="6" t="s">
        <v>65</v>
      </c>
      <c r="G178" s="6" t="s">
        <v>50</v>
      </c>
      <c r="H178" s="6" t="s">
        <v>55</v>
      </c>
      <c r="I178" s="7" t="n">
        <v>31.71</v>
      </c>
      <c r="J178" s="8" t="n">
        <v>539.1</v>
      </c>
      <c r="K178" s="7" t="n">
        <v>29.3</v>
      </c>
      <c r="L178" s="7" t="n">
        <v>15796</v>
      </c>
      <c r="M178" s="6" t="s">
        <v>453</v>
      </c>
    </row>
    <row r="179" customFormat="false" ht="15" hidden="false" customHeight="false" outlineLevel="0" collapsed="false">
      <c r="A179" s="6" t="s">
        <v>454</v>
      </c>
      <c r="B179" s="6" t="s">
        <v>455</v>
      </c>
      <c r="C179" s="6" t="s">
        <v>456</v>
      </c>
      <c r="D179" s="6" t="s">
        <v>47</v>
      </c>
      <c r="E179" s="6" t="s">
        <v>48</v>
      </c>
      <c r="F179" s="6" t="s">
        <v>61</v>
      </c>
      <c r="G179" s="6" t="s">
        <v>66</v>
      </c>
      <c r="H179" s="6" t="s">
        <v>51</v>
      </c>
      <c r="I179" s="7" t="n">
        <v>38.57</v>
      </c>
      <c r="J179" s="8" t="n">
        <v>679</v>
      </c>
      <c r="K179" s="7" t="n">
        <v>33.71</v>
      </c>
      <c r="L179" s="7" t="n">
        <v>22887.86</v>
      </c>
      <c r="M179" s="6" t="s">
        <v>457</v>
      </c>
    </row>
    <row r="180" customFormat="false" ht="15" hidden="false" customHeight="false" outlineLevel="0" collapsed="false">
      <c r="A180" s="6" t="s">
        <v>458</v>
      </c>
      <c r="B180" s="6" t="s">
        <v>455</v>
      </c>
      <c r="C180" s="6" t="s">
        <v>456</v>
      </c>
      <c r="D180" s="6" t="s">
        <v>47</v>
      </c>
      <c r="E180" s="6" t="s">
        <v>48</v>
      </c>
      <c r="F180" s="6" t="s">
        <v>65</v>
      </c>
      <c r="G180" s="6" t="s">
        <v>147</v>
      </c>
      <c r="H180" s="6" t="s">
        <v>55</v>
      </c>
      <c r="I180" s="7" t="n">
        <v>32.93</v>
      </c>
      <c r="J180" s="8" t="n">
        <v>1106.2</v>
      </c>
      <c r="K180" s="7" t="n">
        <v>32.85</v>
      </c>
      <c r="L180" s="7" t="n">
        <v>36340.22</v>
      </c>
      <c r="M180" s="6" t="s">
        <v>459</v>
      </c>
    </row>
    <row r="181" customFormat="false" ht="15" hidden="false" customHeight="false" outlineLevel="0" collapsed="false">
      <c r="A181" s="6" t="s">
        <v>460</v>
      </c>
      <c r="B181" s="6" t="s">
        <v>455</v>
      </c>
      <c r="C181" s="6" t="s">
        <v>456</v>
      </c>
      <c r="D181" s="6" t="s">
        <v>47</v>
      </c>
      <c r="E181" s="6" t="s">
        <v>48</v>
      </c>
      <c r="F181" s="6" t="s">
        <v>49</v>
      </c>
      <c r="G181" s="6" t="s">
        <v>50</v>
      </c>
      <c r="H181" s="6" t="s">
        <v>55</v>
      </c>
      <c r="I181" s="7" t="n">
        <v>27.32</v>
      </c>
      <c r="J181" s="8" t="n">
        <v>543.8</v>
      </c>
      <c r="K181" s="7" t="n">
        <v>25.24</v>
      </c>
      <c r="L181" s="7" t="n">
        <v>13726.44</v>
      </c>
      <c r="M181" s="6" t="s">
        <v>208</v>
      </c>
    </row>
    <row r="182" customFormat="false" ht="15" hidden="false" customHeight="false" outlineLevel="0" collapsed="false">
      <c r="A182" s="6" t="s">
        <v>461</v>
      </c>
      <c r="B182" s="6" t="s">
        <v>455</v>
      </c>
      <c r="C182" s="6" t="s">
        <v>456</v>
      </c>
      <c r="D182" s="6" t="s">
        <v>47</v>
      </c>
      <c r="E182" s="6" t="s">
        <v>48</v>
      </c>
      <c r="F182" s="6" t="s">
        <v>49</v>
      </c>
      <c r="G182" s="6" t="s">
        <v>50</v>
      </c>
      <c r="H182" s="6" t="s">
        <v>51</v>
      </c>
      <c r="I182" s="7" t="n">
        <v>29.61</v>
      </c>
      <c r="J182" s="8" t="n">
        <v>1090.6</v>
      </c>
      <c r="K182" s="7" t="n">
        <v>24.76</v>
      </c>
      <c r="L182" s="7" t="n">
        <v>27002.35</v>
      </c>
      <c r="M182" s="6" t="s">
        <v>462</v>
      </c>
    </row>
    <row r="183" customFormat="false" ht="15" hidden="false" customHeight="false" outlineLevel="0" collapsed="false">
      <c r="A183" s="6" t="s">
        <v>463</v>
      </c>
      <c r="B183" s="6" t="s">
        <v>464</v>
      </c>
      <c r="C183" s="6" t="s">
        <v>465</v>
      </c>
      <c r="D183" s="6" t="s">
        <v>47</v>
      </c>
      <c r="E183" s="6" t="s">
        <v>48</v>
      </c>
      <c r="F183" s="6" t="s">
        <v>61</v>
      </c>
      <c r="G183" s="6" t="s">
        <v>50</v>
      </c>
      <c r="H183" s="6" t="s">
        <v>51</v>
      </c>
      <c r="I183" s="7" t="n">
        <v>38.77</v>
      </c>
      <c r="J183" s="8" t="n">
        <v>1357</v>
      </c>
      <c r="K183" s="7" t="n">
        <v>32.42</v>
      </c>
      <c r="L183" s="7" t="n">
        <v>43994.92</v>
      </c>
      <c r="M183" s="6" t="s">
        <v>466</v>
      </c>
    </row>
    <row r="184" customFormat="false" ht="15" hidden="false" customHeight="false" outlineLevel="0" collapsed="false">
      <c r="A184" s="6" t="s">
        <v>467</v>
      </c>
      <c r="B184" s="6" t="s">
        <v>464</v>
      </c>
      <c r="C184" s="6" t="s">
        <v>465</v>
      </c>
      <c r="D184" s="6" t="s">
        <v>47</v>
      </c>
      <c r="E184" s="6" t="s">
        <v>48</v>
      </c>
      <c r="F184" s="6" t="s">
        <v>88</v>
      </c>
      <c r="G184" s="6" t="s">
        <v>62</v>
      </c>
      <c r="H184" s="6" t="s">
        <v>51</v>
      </c>
      <c r="I184" s="7" t="n">
        <v>27.44</v>
      </c>
      <c r="J184" s="8" t="n">
        <v>826.4</v>
      </c>
      <c r="K184" s="7" t="n">
        <v>19.55</v>
      </c>
      <c r="L184" s="7" t="n">
        <v>16156.29</v>
      </c>
      <c r="M184" s="6" t="s">
        <v>230</v>
      </c>
    </row>
    <row r="185" customFormat="false" ht="15" hidden="false" customHeight="false" outlineLevel="0" collapsed="false">
      <c r="A185" s="6" t="s">
        <v>468</v>
      </c>
      <c r="B185" s="6" t="s">
        <v>464</v>
      </c>
      <c r="C185" s="6" t="s">
        <v>465</v>
      </c>
      <c r="D185" s="6" t="s">
        <v>47</v>
      </c>
      <c r="E185" s="6" t="s">
        <v>48</v>
      </c>
      <c r="F185" s="6" t="s">
        <v>54</v>
      </c>
      <c r="G185" s="6" t="s">
        <v>50</v>
      </c>
      <c r="H185" s="6" t="s">
        <v>55</v>
      </c>
      <c r="I185" s="7" t="n">
        <v>10.31</v>
      </c>
      <c r="J185" s="8" t="n">
        <v>404.5</v>
      </c>
      <c r="K185" s="7" t="n">
        <v>9.53</v>
      </c>
      <c r="L185" s="7" t="n">
        <v>3854.45</v>
      </c>
      <c r="M185" s="6" t="s">
        <v>469</v>
      </c>
    </row>
    <row r="186" customFormat="false" ht="15" hidden="false" customHeight="false" outlineLevel="0" collapsed="false">
      <c r="A186" s="6" t="s">
        <v>470</v>
      </c>
      <c r="B186" s="6" t="s">
        <v>464</v>
      </c>
      <c r="C186" s="6" t="s">
        <v>465</v>
      </c>
      <c r="D186" s="6" t="s">
        <v>47</v>
      </c>
      <c r="E186" s="6" t="s">
        <v>48</v>
      </c>
      <c r="F186" s="6" t="s">
        <v>65</v>
      </c>
      <c r="G186" s="6" t="s">
        <v>50</v>
      </c>
      <c r="H186" s="6" t="s">
        <v>55</v>
      </c>
      <c r="I186" s="7" t="n">
        <v>32.76</v>
      </c>
      <c r="J186" s="8" t="n">
        <v>559.2</v>
      </c>
      <c r="K186" s="7" t="n">
        <v>30.27</v>
      </c>
      <c r="L186" s="7" t="n">
        <v>16925.89</v>
      </c>
      <c r="M186" s="6" t="s">
        <v>471</v>
      </c>
    </row>
    <row r="187" customFormat="false" ht="15" hidden="false" customHeight="false" outlineLevel="0" collapsed="false">
      <c r="A187" s="6" t="s">
        <v>472</v>
      </c>
      <c r="B187" s="6" t="s">
        <v>464</v>
      </c>
      <c r="C187" s="6" t="s">
        <v>465</v>
      </c>
      <c r="D187" s="6" t="s">
        <v>47</v>
      </c>
      <c r="E187" s="6" t="s">
        <v>48</v>
      </c>
      <c r="F187" s="6" t="s">
        <v>49</v>
      </c>
      <c r="G187" s="6" t="s">
        <v>147</v>
      </c>
      <c r="H187" s="6" t="s">
        <v>77</v>
      </c>
      <c r="I187" s="7" t="n">
        <v>27.95</v>
      </c>
      <c r="J187" s="8" t="n">
        <v>974.7</v>
      </c>
      <c r="K187" s="7" t="n">
        <v>26.55</v>
      </c>
      <c r="L187" s="7" t="n">
        <v>25878.12</v>
      </c>
      <c r="M187" s="6" t="s">
        <v>197</v>
      </c>
    </row>
    <row r="188" customFormat="false" ht="15" hidden="false" customHeight="false" outlineLevel="0" collapsed="false">
      <c r="A188" s="6" t="s">
        <v>473</v>
      </c>
      <c r="B188" s="6" t="s">
        <v>464</v>
      </c>
      <c r="C188" s="6" t="s">
        <v>465</v>
      </c>
      <c r="D188" s="6" t="s">
        <v>47</v>
      </c>
      <c r="E188" s="6" t="s">
        <v>48</v>
      </c>
      <c r="F188" s="6" t="s">
        <v>61</v>
      </c>
      <c r="G188" s="6" t="s">
        <v>62</v>
      </c>
      <c r="H188" s="6" t="s">
        <v>55</v>
      </c>
      <c r="I188" s="7" t="n">
        <v>38.38</v>
      </c>
      <c r="J188" s="8" t="n">
        <v>524</v>
      </c>
      <c r="K188" s="7" t="n">
        <v>30.22</v>
      </c>
      <c r="L188" s="7" t="n">
        <v>15834.25</v>
      </c>
      <c r="M188" s="6" t="s">
        <v>101</v>
      </c>
    </row>
    <row r="189" customFormat="false" ht="15" hidden="false" customHeight="false" outlineLevel="0" collapsed="false">
      <c r="A189" s="6" t="s">
        <v>474</v>
      </c>
      <c r="B189" s="6" t="s">
        <v>464</v>
      </c>
      <c r="C189" s="6" t="s">
        <v>465</v>
      </c>
      <c r="D189" s="6" t="s">
        <v>47</v>
      </c>
      <c r="E189" s="6" t="s">
        <v>48</v>
      </c>
      <c r="F189" s="6" t="s">
        <v>88</v>
      </c>
      <c r="G189" s="6" t="s">
        <v>50</v>
      </c>
      <c r="H189" s="6" t="s">
        <v>51</v>
      </c>
      <c r="I189" s="7" t="n">
        <v>28.11</v>
      </c>
      <c r="J189" s="8" t="n">
        <v>970.6</v>
      </c>
      <c r="K189" s="7" t="n">
        <v>23.5</v>
      </c>
      <c r="L189" s="7" t="n">
        <v>22809.81</v>
      </c>
      <c r="M189" s="6" t="s">
        <v>78</v>
      </c>
    </row>
    <row r="190" customFormat="false" ht="15" hidden="false" customHeight="false" outlineLevel="0" collapsed="false">
      <c r="A190" s="6" t="s">
        <v>475</v>
      </c>
      <c r="B190" s="6" t="s">
        <v>464</v>
      </c>
      <c r="C190" s="6" t="s">
        <v>465</v>
      </c>
      <c r="D190" s="6" t="s">
        <v>47</v>
      </c>
      <c r="E190" s="6" t="s">
        <v>48</v>
      </c>
      <c r="F190" s="6" t="s">
        <v>61</v>
      </c>
      <c r="G190" s="6" t="s">
        <v>66</v>
      </c>
      <c r="H190" s="6" t="s">
        <v>55</v>
      </c>
      <c r="I190" s="7" t="n">
        <v>38.46</v>
      </c>
      <c r="J190" s="8" t="n">
        <v>500</v>
      </c>
      <c r="K190" s="7" t="n">
        <v>37.15</v>
      </c>
      <c r="L190" s="7" t="n">
        <v>18575</v>
      </c>
      <c r="M190" s="6" t="s">
        <v>476</v>
      </c>
    </row>
    <row r="191" customFormat="false" ht="15" hidden="false" customHeight="false" outlineLevel="0" collapsed="false">
      <c r="A191" s="6" t="s">
        <v>477</v>
      </c>
      <c r="B191" s="6" t="s">
        <v>464</v>
      </c>
      <c r="C191" s="6" t="s">
        <v>465</v>
      </c>
      <c r="D191" s="6" t="s">
        <v>47</v>
      </c>
      <c r="E191" s="6" t="s">
        <v>48</v>
      </c>
      <c r="F191" s="6" t="s">
        <v>49</v>
      </c>
      <c r="G191" s="6" t="s">
        <v>106</v>
      </c>
      <c r="H191" s="6" t="s">
        <v>55</v>
      </c>
      <c r="I191" s="7" t="n">
        <v>27.12</v>
      </c>
      <c r="J191" s="8" t="n">
        <v>312.6</v>
      </c>
      <c r="K191" s="7" t="n">
        <v>18.51</v>
      </c>
      <c r="L191" s="7" t="n">
        <v>5786.59</v>
      </c>
      <c r="M191" s="6" t="s">
        <v>478</v>
      </c>
    </row>
    <row r="192" customFormat="false" ht="15" hidden="false" customHeight="false" outlineLevel="0" collapsed="false">
      <c r="A192" s="6" t="s">
        <v>479</v>
      </c>
      <c r="B192" s="6" t="s">
        <v>464</v>
      </c>
      <c r="C192" s="6" t="s">
        <v>465</v>
      </c>
      <c r="D192" s="6" t="s">
        <v>47</v>
      </c>
      <c r="E192" s="6" t="s">
        <v>48</v>
      </c>
      <c r="F192" s="6" t="s">
        <v>54</v>
      </c>
      <c r="G192" s="6" t="s">
        <v>66</v>
      </c>
      <c r="H192" s="6" t="s">
        <v>51</v>
      </c>
      <c r="I192" s="7" t="n">
        <v>9.21</v>
      </c>
      <c r="J192" s="8" t="n">
        <v>764.1</v>
      </c>
      <c r="K192" s="7" t="n">
        <v>8.05</v>
      </c>
      <c r="L192" s="7" t="n">
        <v>6150.62</v>
      </c>
      <c r="M192" s="6" t="s">
        <v>480</v>
      </c>
    </row>
    <row r="193" customFormat="false" ht="15" hidden="false" customHeight="false" outlineLevel="0" collapsed="false">
      <c r="A193" s="6" t="s">
        <v>481</v>
      </c>
      <c r="B193" s="6" t="s">
        <v>464</v>
      </c>
      <c r="C193" s="6" t="s">
        <v>465</v>
      </c>
      <c r="D193" s="6" t="s">
        <v>47</v>
      </c>
      <c r="E193" s="6" t="s">
        <v>48</v>
      </c>
      <c r="F193" s="6" t="s">
        <v>61</v>
      </c>
      <c r="G193" s="6" t="s">
        <v>50</v>
      </c>
      <c r="H193" s="6" t="s">
        <v>51</v>
      </c>
      <c r="I193" s="7" t="n">
        <v>38.12</v>
      </c>
      <c r="J193" s="8" t="n">
        <v>1172.2</v>
      </c>
      <c r="K193" s="7" t="n">
        <v>31.87</v>
      </c>
      <c r="L193" s="7" t="n">
        <v>37359.28</v>
      </c>
      <c r="M193" s="6" t="s">
        <v>482</v>
      </c>
    </row>
    <row r="194" customFormat="false" ht="15" hidden="false" customHeight="false" outlineLevel="0" collapsed="false">
      <c r="A194" s="6" t="s">
        <v>483</v>
      </c>
      <c r="B194" s="6" t="s">
        <v>464</v>
      </c>
      <c r="C194" s="6" t="s">
        <v>465</v>
      </c>
      <c r="D194" s="6" t="s">
        <v>47</v>
      </c>
      <c r="E194" s="6" t="s">
        <v>48</v>
      </c>
      <c r="F194" s="6" t="s">
        <v>65</v>
      </c>
      <c r="G194" s="6" t="s">
        <v>50</v>
      </c>
      <c r="H194" s="6" t="s">
        <v>77</v>
      </c>
      <c r="I194" s="7" t="n">
        <v>31.77</v>
      </c>
      <c r="J194" s="8" t="n">
        <v>531.9</v>
      </c>
      <c r="K194" s="7" t="n">
        <v>27.96</v>
      </c>
      <c r="L194" s="7" t="n">
        <v>14873.27</v>
      </c>
      <c r="M194" s="6" t="s">
        <v>462</v>
      </c>
    </row>
    <row r="195" customFormat="false" ht="15" hidden="false" customHeight="false" outlineLevel="0" collapsed="false">
      <c r="A195" s="6" t="s">
        <v>484</v>
      </c>
      <c r="B195" s="6" t="s">
        <v>485</v>
      </c>
      <c r="C195" s="6" t="s">
        <v>486</v>
      </c>
      <c r="D195" s="6" t="s">
        <v>47</v>
      </c>
      <c r="E195" s="6" t="s">
        <v>48</v>
      </c>
      <c r="F195" s="6" t="s">
        <v>49</v>
      </c>
      <c r="G195" s="6" t="s">
        <v>147</v>
      </c>
      <c r="H195" s="6" t="s">
        <v>51</v>
      </c>
      <c r="I195" s="7" t="n">
        <v>28.67</v>
      </c>
      <c r="J195" s="8" t="n">
        <v>1653.8</v>
      </c>
      <c r="K195" s="7" t="n">
        <v>25.88</v>
      </c>
      <c r="L195" s="7" t="n">
        <v>42800.43</v>
      </c>
      <c r="M195" s="6" t="s">
        <v>487</v>
      </c>
    </row>
    <row r="196" customFormat="false" ht="15" hidden="false" customHeight="false" outlineLevel="0" collapsed="false">
      <c r="A196" s="6" t="s">
        <v>488</v>
      </c>
      <c r="B196" s="6" t="s">
        <v>485</v>
      </c>
      <c r="C196" s="6" t="s">
        <v>486</v>
      </c>
      <c r="D196" s="6" t="s">
        <v>47</v>
      </c>
      <c r="E196" s="6" t="s">
        <v>48</v>
      </c>
      <c r="F196" s="6" t="s">
        <v>88</v>
      </c>
      <c r="G196" s="6" t="s">
        <v>147</v>
      </c>
      <c r="H196" s="6" t="s">
        <v>77</v>
      </c>
      <c r="I196" s="7" t="n">
        <v>29.89</v>
      </c>
      <c r="J196" s="8" t="n">
        <v>1342.2</v>
      </c>
      <c r="K196" s="7" t="n">
        <v>28.4</v>
      </c>
      <c r="L196" s="7" t="n">
        <v>38117.28</v>
      </c>
      <c r="M196" s="6" t="s">
        <v>489</v>
      </c>
    </row>
    <row r="197" customFormat="false" ht="15" hidden="false" customHeight="false" outlineLevel="0" collapsed="false">
      <c r="A197" s="6" t="s">
        <v>490</v>
      </c>
      <c r="B197" s="6" t="s">
        <v>485</v>
      </c>
      <c r="C197" s="6" t="s">
        <v>486</v>
      </c>
      <c r="D197" s="6" t="s">
        <v>47</v>
      </c>
      <c r="E197" s="6" t="s">
        <v>48</v>
      </c>
      <c r="F197" s="6" t="s">
        <v>54</v>
      </c>
      <c r="G197" s="6" t="s">
        <v>66</v>
      </c>
      <c r="H197" s="6" t="s">
        <v>51</v>
      </c>
      <c r="I197" s="7" t="n">
        <v>10.94</v>
      </c>
      <c r="J197" s="8" t="n">
        <v>946.4</v>
      </c>
      <c r="K197" s="7" t="n">
        <v>9.56</v>
      </c>
      <c r="L197" s="7" t="n">
        <v>9047.35</v>
      </c>
      <c r="M197" s="6" t="s">
        <v>491</v>
      </c>
    </row>
    <row r="198" customFormat="false" ht="15" hidden="false" customHeight="false" outlineLevel="0" collapsed="false">
      <c r="A198" s="6" t="s">
        <v>492</v>
      </c>
      <c r="B198" s="6" t="s">
        <v>493</v>
      </c>
      <c r="C198" s="6" t="s">
        <v>494</v>
      </c>
      <c r="D198" s="6" t="s">
        <v>87</v>
      </c>
      <c r="E198" s="6" t="s">
        <v>48</v>
      </c>
      <c r="F198" s="6" t="s">
        <v>65</v>
      </c>
      <c r="G198" s="6" t="s">
        <v>66</v>
      </c>
      <c r="H198" s="6" t="s">
        <v>55</v>
      </c>
      <c r="I198" s="7" t="n">
        <v>32.29</v>
      </c>
      <c r="J198" s="8" t="n">
        <v>1104.1</v>
      </c>
      <c r="K198" s="7" t="n">
        <v>31.19</v>
      </c>
      <c r="L198" s="7" t="n">
        <v>34437.04</v>
      </c>
      <c r="M198" s="6" t="s">
        <v>401</v>
      </c>
    </row>
    <row r="199" customFormat="false" ht="15" hidden="false" customHeight="false" outlineLevel="0" collapsed="false">
      <c r="A199" s="6" t="s">
        <v>495</v>
      </c>
      <c r="B199" s="6" t="s">
        <v>493</v>
      </c>
      <c r="C199" s="6" t="s">
        <v>494</v>
      </c>
      <c r="D199" s="6" t="s">
        <v>87</v>
      </c>
      <c r="E199" s="6" t="s">
        <v>48</v>
      </c>
      <c r="F199" s="6" t="s">
        <v>54</v>
      </c>
      <c r="G199" s="6" t="s">
        <v>62</v>
      </c>
      <c r="H199" s="6" t="s">
        <v>77</v>
      </c>
      <c r="I199" s="7" t="n">
        <v>10.48</v>
      </c>
      <c r="J199" s="8" t="n">
        <v>1117.9</v>
      </c>
      <c r="K199" s="7" t="n">
        <v>7.86</v>
      </c>
      <c r="L199" s="7" t="n">
        <v>8786.65</v>
      </c>
      <c r="M199" s="6" t="s">
        <v>496</v>
      </c>
    </row>
    <row r="200" customFormat="false" ht="15" hidden="false" customHeight="false" outlineLevel="0" collapsed="false">
      <c r="A200" s="6" t="s">
        <v>497</v>
      </c>
      <c r="B200" s="6" t="s">
        <v>493</v>
      </c>
      <c r="C200" s="6" t="s">
        <v>494</v>
      </c>
      <c r="D200" s="6" t="s">
        <v>87</v>
      </c>
      <c r="E200" s="6" t="s">
        <v>48</v>
      </c>
      <c r="F200" s="6" t="s">
        <v>49</v>
      </c>
      <c r="G200" s="6" t="s">
        <v>50</v>
      </c>
      <c r="H200" s="6" t="s">
        <v>51</v>
      </c>
      <c r="I200" s="7" t="n">
        <v>27.93</v>
      </c>
      <c r="J200" s="8" t="n">
        <v>1143.5</v>
      </c>
      <c r="K200" s="7" t="n">
        <v>23.35</v>
      </c>
      <c r="L200" s="7" t="n">
        <v>26700.63</v>
      </c>
      <c r="M200" s="6" t="s">
        <v>498</v>
      </c>
    </row>
    <row r="201" customFormat="false" ht="15" hidden="false" customHeight="false" outlineLevel="0" collapsed="false">
      <c r="A201" s="6" t="s">
        <v>499</v>
      </c>
      <c r="B201" s="6" t="s">
        <v>493</v>
      </c>
      <c r="C201" s="6" t="s">
        <v>494</v>
      </c>
      <c r="D201" s="6" t="s">
        <v>87</v>
      </c>
      <c r="E201" s="6" t="s">
        <v>48</v>
      </c>
      <c r="F201" s="6" t="s">
        <v>88</v>
      </c>
      <c r="G201" s="6" t="s">
        <v>106</v>
      </c>
      <c r="H201" s="6" t="s">
        <v>55</v>
      </c>
      <c r="I201" s="7" t="n">
        <v>27.68</v>
      </c>
      <c r="J201" s="8" t="n">
        <v>1039.8</v>
      </c>
      <c r="K201" s="7" t="n">
        <v>18.89</v>
      </c>
      <c r="L201" s="7" t="n">
        <v>19640.96</v>
      </c>
      <c r="M201" s="6" t="s">
        <v>500</v>
      </c>
    </row>
    <row r="202" customFormat="false" ht="15" hidden="false" customHeight="false" outlineLevel="0" collapsed="false">
      <c r="A202" s="6" t="s">
        <v>501</v>
      </c>
      <c r="B202" s="6" t="s">
        <v>493</v>
      </c>
      <c r="C202" s="6" t="s">
        <v>494</v>
      </c>
      <c r="D202" s="6" t="s">
        <v>87</v>
      </c>
      <c r="E202" s="6" t="s">
        <v>48</v>
      </c>
      <c r="F202" s="6" t="s">
        <v>54</v>
      </c>
      <c r="G202" s="6" t="s">
        <v>66</v>
      </c>
      <c r="H202" s="6" t="s">
        <v>55</v>
      </c>
      <c r="I202" s="7" t="n">
        <v>10.67</v>
      </c>
      <c r="J202" s="8" t="n">
        <v>1260.1</v>
      </c>
      <c r="K202" s="7" t="n">
        <v>10.31</v>
      </c>
      <c r="L202" s="7" t="n">
        <v>12991.41</v>
      </c>
      <c r="M202" s="6" t="s">
        <v>502</v>
      </c>
    </row>
    <row r="203" customFormat="false" ht="15" hidden="false" customHeight="false" outlineLevel="0" collapsed="false">
      <c r="A203" s="6" t="s">
        <v>503</v>
      </c>
      <c r="B203" s="6" t="s">
        <v>493</v>
      </c>
      <c r="C203" s="6" t="s">
        <v>494</v>
      </c>
      <c r="D203" s="6" t="s">
        <v>87</v>
      </c>
      <c r="E203" s="6" t="s">
        <v>48</v>
      </c>
      <c r="F203" s="6" t="s">
        <v>61</v>
      </c>
      <c r="G203" s="6" t="s">
        <v>62</v>
      </c>
      <c r="H203" s="6" t="s">
        <v>77</v>
      </c>
      <c r="I203" s="7" t="n">
        <v>39.05</v>
      </c>
      <c r="J203" s="8" t="n">
        <v>1058.2</v>
      </c>
      <c r="K203" s="7" t="n">
        <v>29.28</v>
      </c>
      <c r="L203" s="7" t="n">
        <v>30982.75</v>
      </c>
      <c r="M203" s="6" t="s">
        <v>154</v>
      </c>
    </row>
    <row r="204" customFormat="false" ht="15" hidden="false" customHeight="false" outlineLevel="0" collapsed="false">
      <c r="A204" s="6" t="s">
        <v>504</v>
      </c>
      <c r="B204" s="6" t="s">
        <v>493</v>
      </c>
      <c r="C204" s="6" t="s">
        <v>494</v>
      </c>
      <c r="D204" s="6" t="s">
        <v>87</v>
      </c>
      <c r="E204" s="6" t="s">
        <v>48</v>
      </c>
      <c r="F204" s="6" t="s">
        <v>65</v>
      </c>
      <c r="G204" s="6" t="s">
        <v>62</v>
      </c>
      <c r="H204" s="6" t="s">
        <v>55</v>
      </c>
      <c r="I204" s="7" t="n">
        <v>32.81</v>
      </c>
      <c r="J204" s="8" t="n">
        <v>922.7</v>
      </c>
      <c r="K204" s="7" t="n">
        <v>25.83</v>
      </c>
      <c r="L204" s="7" t="n">
        <v>23834.59</v>
      </c>
      <c r="M204" s="6" t="s">
        <v>482</v>
      </c>
    </row>
    <row r="205" customFormat="false" ht="15" hidden="false" customHeight="false" outlineLevel="0" collapsed="false">
      <c r="A205" s="6" t="s">
        <v>505</v>
      </c>
      <c r="B205" s="6" t="s">
        <v>493</v>
      </c>
      <c r="C205" s="6" t="s">
        <v>494</v>
      </c>
      <c r="D205" s="6" t="s">
        <v>87</v>
      </c>
      <c r="E205" s="6" t="s">
        <v>48</v>
      </c>
      <c r="F205" s="6" t="s">
        <v>61</v>
      </c>
      <c r="G205" s="6" t="s">
        <v>50</v>
      </c>
      <c r="H205" s="6" t="s">
        <v>55</v>
      </c>
      <c r="I205" s="7" t="n">
        <v>38.09</v>
      </c>
      <c r="J205" s="8" t="n">
        <v>963.6</v>
      </c>
      <c r="K205" s="7" t="n">
        <v>35.2</v>
      </c>
      <c r="L205" s="7" t="n">
        <v>33917.51</v>
      </c>
      <c r="M205" s="6" t="s">
        <v>506</v>
      </c>
    </row>
    <row r="206" customFormat="false" ht="15" hidden="false" customHeight="false" outlineLevel="0" collapsed="false">
      <c r="A206" s="6" t="s">
        <v>507</v>
      </c>
      <c r="B206" s="6" t="s">
        <v>493</v>
      </c>
      <c r="C206" s="6" t="s">
        <v>494</v>
      </c>
      <c r="D206" s="6" t="s">
        <v>87</v>
      </c>
      <c r="E206" s="6" t="s">
        <v>48</v>
      </c>
      <c r="F206" s="6" t="s">
        <v>49</v>
      </c>
      <c r="G206" s="6" t="s">
        <v>50</v>
      </c>
      <c r="H206" s="6" t="s">
        <v>55</v>
      </c>
      <c r="I206" s="7" t="n">
        <v>27.93</v>
      </c>
      <c r="J206" s="8" t="n">
        <v>742.9</v>
      </c>
      <c r="K206" s="7" t="n">
        <v>25.81</v>
      </c>
      <c r="L206" s="7" t="n">
        <v>19175.18</v>
      </c>
      <c r="M206" s="6" t="s">
        <v>508</v>
      </c>
    </row>
    <row r="207" customFormat="false" ht="15" hidden="false" customHeight="false" outlineLevel="0" collapsed="false">
      <c r="A207" s="6" t="s">
        <v>509</v>
      </c>
      <c r="B207" s="6" t="s">
        <v>493</v>
      </c>
      <c r="C207" s="6" t="s">
        <v>494</v>
      </c>
      <c r="D207" s="6" t="s">
        <v>87</v>
      </c>
      <c r="E207" s="6" t="s">
        <v>48</v>
      </c>
      <c r="F207" s="6" t="s">
        <v>54</v>
      </c>
      <c r="G207" s="6" t="s">
        <v>50</v>
      </c>
      <c r="H207" s="6" t="s">
        <v>77</v>
      </c>
      <c r="I207" s="7" t="n">
        <v>10.97</v>
      </c>
      <c r="J207" s="8" t="n">
        <v>1238.8</v>
      </c>
      <c r="K207" s="7" t="n">
        <v>9.65</v>
      </c>
      <c r="L207" s="7" t="n">
        <v>11954.71</v>
      </c>
      <c r="M207" s="6" t="s">
        <v>308</v>
      </c>
    </row>
    <row r="208" customFormat="false" ht="15" hidden="false" customHeight="false" outlineLevel="0" collapsed="false">
      <c r="A208" s="6" t="s">
        <v>510</v>
      </c>
      <c r="B208" s="6" t="s">
        <v>493</v>
      </c>
      <c r="C208" s="6" t="s">
        <v>494</v>
      </c>
      <c r="D208" s="6" t="s">
        <v>87</v>
      </c>
      <c r="E208" s="6" t="s">
        <v>48</v>
      </c>
      <c r="F208" s="6" t="s">
        <v>88</v>
      </c>
      <c r="G208" s="6" t="s">
        <v>50</v>
      </c>
      <c r="H208" s="6" t="s">
        <v>51</v>
      </c>
      <c r="I208" s="7" t="n">
        <v>27.6</v>
      </c>
      <c r="J208" s="8" t="n">
        <v>885.3</v>
      </c>
      <c r="K208" s="7" t="n">
        <v>23.07</v>
      </c>
      <c r="L208" s="7" t="n">
        <v>20424.74</v>
      </c>
      <c r="M208" s="6" t="s">
        <v>416</v>
      </c>
    </row>
    <row r="209" customFormat="false" ht="15" hidden="false" customHeight="false" outlineLevel="0" collapsed="false">
      <c r="A209" s="6" t="s">
        <v>511</v>
      </c>
      <c r="B209" s="6" t="s">
        <v>493</v>
      </c>
      <c r="C209" s="6" t="s">
        <v>494</v>
      </c>
      <c r="D209" s="6" t="s">
        <v>87</v>
      </c>
      <c r="E209" s="6" t="s">
        <v>48</v>
      </c>
      <c r="F209" s="6" t="s">
        <v>54</v>
      </c>
      <c r="G209" s="6" t="s">
        <v>106</v>
      </c>
      <c r="H209" s="6" t="s">
        <v>51</v>
      </c>
      <c r="I209" s="7" t="n">
        <v>9.96</v>
      </c>
      <c r="J209" s="8" t="n">
        <v>542.4</v>
      </c>
      <c r="K209" s="7" t="n">
        <v>6.15</v>
      </c>
      <c r="L209" s="7" t="n">
        <v>3335.6</v>
      </c>
      <c r="M209" s="6" t="s">
        <v>378</v>
      </c>
    </row>
    <row r="210" customFormat="false" ht="15" hidden="false" customHeight="false" outlineLevel="0" collapsed="false">
      <c r="A210" s="6" t="s">
        <v>512</v>
      </c>
      <c r="B210" s="6" t="s">
        <v>493</v>
      </c>
      <c r="C210" s="6" t="s">
        <v>494</v>
      </c>
      <c r="D210" s="6" t="s">
        <v>87</v>
      </c>
      <c r="E210" s="6" t="s">
        <v>48</v>
      </c>
      <c r="F210" s="6" t="s">
        <v>49</v>
      </c>
      <c r="G210" s="6" t="s">
        <v>50</v>
      </c>
      <c r="H210" s="6" t="s">
        <v>51</v>
      </c>
      <c r="I210" s="7" t="n">
        <v>27.25</v>
      </c>
      <c r="J210" s="8" t="n">
        <v>1194.4</v>
      </c>
      <c r="K210" s="7" t="n">
        <v>22.78</v>
      </c>
      <c r="L210" s="7" t="n">
        <v>27208.63</v>
      </c>
      <c r="M210" s="6" t="s">
        <v>513</v>
      </c>
    </row>
    <row r="211" customFormat="false" ht="15" hidden="false" customHeight="false" outlineLevel="0" collapsed="false">
      <c r="A211" s="6" t="s">
        <v>514</v>
      </c>
      <c r="B211" s="6" t="s">
        <v>493</v>
      </c>
      <c r="C211" s="6" t="s">
        <v>494</v>
      </c>
      <c r="D211" s="6" t="s">
        <v>87</v>
      </c>
      <c r="E211" s="6" t="s">
        <v>48</v>
      </c>
      <c r="F211" s="6" t="s">
        <v>88</v>
      </c>
      <c r="G211" s="6" t="s">
        <v>50</v>
      </c>
      <c r="H211" s="6" t="s">
        <v>55</v>
      </c>
      <c r="I211" s="7" t="n">
        <v>29.49</v>
      </c>
      <c r="J211" s="8" t="n">
        <v>675.2</v>
      </c>
      <c r="K211" s="7" t="n">
        <v>27.25</v>
      </c>
      <c r="L211" s="7" t="n">
        <v>18400.11</v>
      </c>
      <c r="M211" s="6" t="s">
        <v>515</v>
      </c>
    </row>
    <row r="212" customFormat="false" ht="15" hidden="false" customHeight="false" outlineLevel="0" collapsed="false">
      <c r="A212" s="6" t="s">
        <v>516</v>
      </c>
      <c r="B212" s="6" t="s">
        <v>493</v>
      </c>
      <c r="C212" s="6" t="s">
        <v>494</v>
      </c>
      <c r="D212" s="6" t="s">
        <v>87</v>
      </c>
      <c r="E212" s="6" t="s">
        <v>48</v>
      </c>
      <c r="F212" s="6" t="s">
        <v>54</v>
      </c>
      <c r="G212" s="6" t="s">
        <v>106</v>
      </c>
      <c r="H212" s="6" t="s">
        <v>55</v>
      </c>
      <c r="I212" s="7" t="n">
        <v>9.79</v>
      </c>
      <c r="J212" s="8" t="n">
        <v>1044.8</v>
      </c>
      <c r="K212" s="7" t="n">
        <v>6.68</v>
      </c>
      <c r="L212" s="7" t="n">
        <v>6979.4</v>
      </c>
      <c r="M212" s="6" t="s">
        <v>344</v>
      </c>
    </row>
    <row r="213" customFormat="false" ht="15" hidden="false" customHeight="false" outlineLevel="0" collapsed="false">
      <c r="A213" s="6" t="s">
        <v>517</v>
      </c>
      <c r="B213" s="6" t="s">
        <v>493</v>
      </c>
      <c r="C213" s="6" t="s">
        <v>494</v>
      </c>
      <c r="D213" s="6" t="s">
        <v>87</v>
      </c>
      <c r="E213" s="6" t="s">
        <v>48</v>
      </c>
      <c r="F213" s="6" t="s">
        <v>54</v>
      </c>
      <c r="G213" s="6" t="s">
        <v>50</v>
      </c>
      <c r="H213" s="6" t="s">
        <v>51</v>
      </c>
      <c r="I213" s="7" t="n">
        <v>9.45</v>
      </c>
      <c r="J213" s="8" t="n">
        <v>358.8</v>
      </c>
      <c r="K213" s="7" t="n">
        <v>7.9</v>
      </c>
      <c r="L213" s="7" t="n">
        <v>2834.13</v>
      </c>
      <c r="M213" s="6" t="s">
        <v>518</v>
      </c>
    </row>
    <row r="214" customFormat="false" ht="15" hidden="false" customHeight="false" outlineLevel="0" collapsed="false">
      <c r="A214" s="6" t="s">
        <v>519</v>
      </c>
      <c r="B214" s="6" t="s">
        <v>493</v>
      </c>
      <c r="C214" s="6" t="s">
        <v>494</v>
      </c>
      <c r="D214" s="6" t="s">
        <v>87</v>
      </c>
      <c r="E214" s="6" t="s">
        <v>48</v>
      </c>
      <c r="F214" s="6" t="s">
        <v>61</v>
      </c>
      <c r="G214" s="6" t="s">
        <v>62</v>
      </c>
      <c r="H214" s="6" t="s">
        <v>51</v>
      </c>
      <c r="I214" s="7" t="n">
        <v>38.22</v>
      </c>
      <c r="J214" s="8" t="n">
        <v>1025.9</v>
      </c>
      <c r="K214" s="7" t="n">
        <v>27.23</v>
      </c>
      <c r="L214" s="7" t="n">
        <v>27935.04</v>
      </c>
      <c r="M214" s="6" t="s">
        <v>520</v>
      </c>
    </row>
    <row r="215" customFormat="false" ht="15" hidden="false" customHeight="false" outlineLevel="0" collapsed="false">
      <c r="A215" s="6" t="s">
        <v>521</v>
      </c>
      <c r="B215" s="6" t="s">
        <v>493</v>
      </c>
      <c r="C215" s="6" t="s">
        <v>494</v>
      </c>
      <c r="D215" s="6" t="s">
        <v>87</v>
      </c>
      <c r="E215" s="6" t="s">
        <v>48</v>
      </c>
      <c r="F215" s="6" t="s">
        <v>54</v>
      </c>
      <c r="G215" s="6" t="s">
        <v>62</v>
      </c>
      <c r="H215" s="6" t="s">
        <v>55</v>
      </c>
      <c r="I215" s="7" t="n">
        <v>10.23</v>
      </c>
      <c r="J215" s="8" t="n">
        <v>526.5</v>
      </c>
      <c r="K215" s="7" t="n">
        <v>8.06</v>
      </c>
      <c r="L215" s="7" t="n">
        <v>4243.7</v>
      </c>
      <c r="M215" s="6" t="s">
        <v>348</v>
      </c>
    </row>
    <row r="216" customFormat="false" ht="15" hidden="false" customHeight="false" outlineLevel="0" collapsed="false">
      <c r="A216" s="6" t="s">
        <v>522</v>
      </c>
      <c r="B216" s="6" t="s">
        <v>493</v>
      </c>
      <c r="C216" s="6" t="s">
        <v>494</v>
      </c>
      <c r="D216" s="6" t="s">
        <v>87</v>
      </c>
      <c r="E216" s="6" t="s">
        <v>48</v>
      </c>
      <c r="F216" s="6" t="s">
        <v>61</v>
      </c>
      <c r="G216" s="6" t="s">
        <v>50</v>
      </c>
      <c r="H216" s="6" t="s">
        <v>55</v>
      </c>
      <c r="I216" s="7" t="n">
        <v>38.82</v>
      </c>
      <c r="J216" s="8" t="n">
        <v>815.7</v>
      </c>
      <c r="K216" s="7" t="n">
        <v>35.87</v>
      </c>
      <c r="L216" s="7" t="n">
        <v>29259.64</v>
      </c>
      <c r="M216" s="6" t="s">
        <v>523</v>
      </c>
    </row>
    <row r="217" customFormat="false" ht="15" hidden="false" customHeight="false" outlineLevel="0" collapsed="false">
      <c r="A217" s="6" t="s">
        <v>524</v>
      </c>
      <c r="B217" s="6" t="s">
        <v>493</v>
      </c>
      <c r="C217" s="6" t="s">
        <v>494</v>
      </c>
      <c r="D217" s="6" t="s">
        <v>87</v>
      </c>
      <c r="E217" s="6" t="s">
        <v>48</v>
      </c>
      <c r="F217" s="6" t="s">
        <v>88</v>
      </c>
      <c r="G217" s="6" t="s">
        <v>147</v>
      </c>
      <c r="H217" s="6" t="s">
        <v>51</v>
      </c>
      <c r="I217" s="7" t="n">
        <v>27.72</v>
      </c>
      <c r="J217" s="8" t="n">
        <v>1307.6</v>
      </c>
      <c r="K217" s="7" t="n">
        <v>25.01</v>
      </c>
      <c r="L217" s="7" t="n">
        <v>32703.53</v>
      </c>
      <c r="M217" s="6" t="s">
        <v>353</v>
      </c>
    </row>
    <row r="218" customFormat="false" ht="15" hidden="false" customHeight="false" outlineLevel="0" collapsed="false">
      <c r="A218" s="6" t="s">
        <v>525</v>
      </c>
      <c r="B218" s="6" t="s">
        <v>526</v>
      </c>
      <c r="C218" s="6" t="s">
        <v>527</v>
      </c>
      <c r="D218" s="6" t="s">
        <v>47</v>
      </c>
      <c r="E218" s="6" t="s">
        <v>48</v>
      </c>
      <c r="F218" s="6" t="s">
        <v>61</v>
      </c>
      <c r="G218" s="6" t="s">
        <v>62</v>
      </c>
      <c r="H218" s="6" t="s">
        <v>55</v>
      </c>
      <c r="I218" s="7" t="n">
        <v>38.84</v>
      </c>
      <c r="J218" s="8" t="n">
        <v>619.2</v>
      </c>
      <c r="K218" s="7" t="n">
        <v>30.59</v>
      </c>
      <c r="L218" s="7" t="n">
        <v>18942.02</v>
      </c>
      <c r="M218" s="6" t="s">
        <v>528</v>
      </c>
    </row>
    <row r="219" customFormat="false" ht="15" hidden="false" customHeight="false" outlineLevel="0" collapsed="false">
      <c r="A219" s="6" t="s">
        <v>529</v>
      </c>
      <c r="B219" s="6" t="s">
        <v>526</v>
      </c>
      <c r="C219" s="6" t="s">
        <v>527</v>
      </c>
      <c r="D219" s="6" t="s">
        <v>47</v>
      </c>
      <c r="E219" s="6" t="s">
        <v>48</v>
      </c>
      <c r="F219" s="6" t="s">
        <v>49</v>
      </c>
      <c r="G219" s="6" t="s">
        <v>147</v>
      </c>
      <c r="H219" s="6" t="s">
        <v>51</v>
      </c>
      <c r="I219" s="7" t="n">
        <v>28.06</v>
      </c>
      <c r="J219" s="8" t="n">
        <v>522.4</v>
      </c>
      <c r="K219" s="7" t="n">
        <v>25.32</v>
      </c>
      <c r="L219" s="7" t="n">
        <v>13226.24</v>
      </c>
      <c r="M219" s="6" t="s">
        <v>478</v>
      </c>
    </row>
    <row r="220" customFormat="false" ht="15" hidden="false" customHeight="false" outlineLevel="0" collapsed="false">
      <c r="A220" s="6" t="s">
        <v>530</v>
      </c>
      <c r="B220" s="6" t="s">
        <v>526</v>
      </c>
      <c r="C220" s="6" t="s">
        <v>527</v>
      </c>
      <c r="D220" s="6" t="s">
        <v>47</v>
      </c>
      <c r="E220" s="6" t="s">
        <v>48</v>
      </c>
      <c r="F220" s="6" t="s">
        <v>65</v>
      </c>
      <c r="G220" s="6" t="s">
        <v>66</v>
      </c>
      <c r="H220" s="6" t="s">
        <v>55</v>
      </c>
      <c r="I220" s="7" t="n">
        <v>32.05</v>
      </c>
      <c r="J220" s="8" t="n">
        <v>712</v>
      </c>
      <c r="K220" s="7" t="n">
        <v>30.96</v>
      </c>
      <c r="L220" s="7" t="n">
        <v>22044.5</v>
      </c>
      <c r="M220" s="6" t="s">
        <v>531</v>
      </c>
    </row>
    <row r="221" customFormat="false" ht="15" hidden="false" customHeight="false" outlineLevel="0" collapsed="false">
      <c r="A221" s="6" t="s">
        <v>532</v>
      </c>
      <c r="B221" s="6" t="s">
        <v>526</v>
      </c>
      <c r="C221" s="6" t="s">
        <v>527</v>
      </c>
      <c r="D221" s="6" t="s">
        <v>47</v>
      </c>
      <c r="E221" s="6" t="s">
        <v>48</v>
      </c>
      <c r="F221" s="6" t="s">
        <v>61</v>
      </c>
      <c r="G221" s="6" t="s">
        <v>62</v>
      </c>
      <c r="H221" s="6" t="s">
        <v>55</v>
      </c>
      <c r="I221" s="7" t="n">
        <v>37.55</v>
      </c>
      <c r="J221" s="8" t="n">
        <v>1236.7</v>
      </c>
      <c r="K221" s="7" t="n">
        <v>29.57</v>
      </c>
      <c r="L221" s="7" t="n">
        <v>36570.34</v>
      </c>
      <c r="M221" s="6" t="s">
        <v>508</v>
      </c>
    </row>
    <row r="222" customFormat="false" ht="15" hidden="false" customHeight="false" outlineLevel="0" collapsed="false">
      <c r="A222" s="6" t="s">
        <v>533</v>
      </c>
      <c r="B222" s="6" t="s">
        <v>526</v>
      </c>
      <c r="C222" s="6" t="s">
        <v>527</v>
      </c>
      <c r="D222" s="6" t="s">
        <v>47</v>
      </c>
      <c r="E222" s="6" t="s">
        <v>48</v>
      </c>
      <c r="F222" s="6" t="s">
        <v>61</v>
      </c>
      <c r="G222" s="6" t="s">
        <v>50</v>
      </c>
      <c r="H222" s="6" t="s">
        <v>77</v>
      </c>
      <c r="I222" s="7" t="n">
        <v>38.13</v>
      </c>
      <c r="J222" s="8" t="n">
        <v>810.7</v>
      </c>
      <c r="K222" s="7" t="n">
        <v>33.56</v>
      </c>
      <c r="L222" s="7" t="n">
        <v>27206.44</v>
      </c>
      <c r="M222" s="6" t="s">
        <v>534</v>
      </c>
    </row>
    <row r="223" customFormat="false" ht="15" hidden="false" customHeight="false" outlineLevel="0" collapsed="false">
      <c r="A223" s="6" t="s">
        <v>535</v>
      </c>
      <c r="B223" s="6" t="s">
        <v>526</v>
      </c>
      <c r="C223" s="6" t="s">
        <v>527</v>
      </c>
      <c r="D223" s="6" t="s">
        <v>47</v>
      </c>
      <c r="E223" s="6" t="s">
        <v>48</v>
      </c>
      <c r="F223" s="6" t="s">
        <v>88</v>
      </c>
      <c r="G223" s="6" t="s">
        <v>62</v>
      </c>
      <c r="H223" s="6" t="s">
        <v>55</v>
      </c>
      <c r="I223" s="7" t="n">
        <v>29.31</v>
      </c>
      <c r="J223" s="8" t="n">
        <v>969.5</v>
      </c>
      <c r="K223" s="7" t="n">
        <v>23.09</v>
      </c>
      <c r="L223" s="7" t="n">
        <v>22385.52</v>
      </c>
      <c r="M223" s="6" t="s">
        <v>536</v>
      </c>
    </row>
    <row r="224" customFormat="false" ht="15" hidden="false" customHeight="false" outlineLevel="0" collapsed="false">
      <c r="A224" s="6" t="s">
        <v>537</v>
      </c>
      <c r="B224" s="6" t="s">
        <v>526</v>
      </c>
      <c r="C224" s="6" t="s">
        <v>527</v>
      </c>
      <c r="D224" s="6" t="s">
        <v>47</v>
      </c>
      <c r="E224" s="6" t="s">
        <v>48</v>
      </c>
      <c r="F224" s="6" t="s">
        <v>54</v>
      </c>
      <c r="G224" s="6" t="s">
        <v>66</v>
      </c>
      <c r="H224" s="6" t="s">
        <v>55</v>
      </c>
      <c r="I224" s="7" t="n">
        <v>10.63</v>
      </c>
      <c r="J224" s="8" t="n">
        <v>665.8</v>
      </c>
      <c r="K224" s="7" t="n">
        <v>10.27</v>
      </c>
      <c r="L224" s="7" t="n">
        <v>6837.81</v>
      </c>
      <c r="M224" s="6" t="s">
        <v>538</v>
      </c>
    </row>
    <row r="225" customFormat="false" ht="15" hidden="false" customHeight="false" outlineLevel="0" collapsed="false">
      <c r="A225" s="6" t="s">
        <v>539</v>
      </c>
      <c r="B225" s="6" t="s">
        <v>526</v>
      </c>
      <c r="C225" s="6" t="s">
        <v>527</v>
      </c>
      <c r="D225" s="6" t="s">
        <v>47</v>
      </c>
      <c r="E225" s="6" t="s">
        <v>48</v>
      </c>
      <c r="F225" s="6" t="s">
        <v>65</v>
      </c>
      <c r="G225" s="6" t="s">
        <v>66</v>
      </c>
      <c r="H225" s="6" t="s">
        <v>51</v>
      </c>
      <c r="I225" s="7" t="n">
        <v>32.43</v>
      </c>
      <c r="J225" s="8" t="n">
        <v>1218.4</v>
      </c>
      <c r="K225" s="7" t="n">
        <v>28.35</v>
      </c>
      <c r="L225" s="7" t="n">
        <v>34542.19</v>
      </c>
      <c r="M225" s="6" t="s">
        <v>540</v>
      </c>
    </row>
    <row r="226" customFormat="false" ht="15" hidden="false" customHeight="false" outlineLevel="0" collapsed="false">
      <c r="A226" s="6" t="s">
        <v>541</v>
      </c>
      <c r="B226" s="6" t="s">
        <v>526</v>
      </c>
      <c r="C226" s="6" t="s">
        <v>527</v>
      </c>
      <c r="D226" s="6" t="s">
        <v>47</v>
      </c>
      <c r="E226" s="6" t="s">
        <v>48</v>
      </c>
      <c r="F226" s="6" t="s">
        <v>61</v>
      </c>
      <c r="G226" s="6" t="s">
        <v>147</v>
      </c>
      <c r="H226" s="6" t="s">
        <v>51</v>
      </c>
      <c r="I226" s="7" t="n">
        <v>38</v>
      </c>
      <c r="J226" s="8" t="n">
        <v>871.9</v>
      </c>
      <c r="K226" s="7" t="n">
        <v>34.29</v>
      </c>
      <c r="L226" s="7" t="n">
        <v>29898.66</v>
      </c>
      <c r="M226" s="6" t="s">
        <v>542</v>
      </c>
    </row>
    <row r="227" customFormat="false" ht="15" hidden="false" customHeight="false" outlineLevel="0" collapsed="false">
      <c r="A227" s="6" t="s">
        <v>543</v>
      </c>
      <c r="B227" s="6" t="s">
        <v>526</v>
      </c>
      <c r="C227" s="6" t="s">
        <v>527</v>
      </c>
      <c r="D227" s="6" t="s">
        <v>47</v>
      </c>
      <c r="E227" s="6" t="s">
        <v>48</v>
      </c>
      <c r="F227" s="6" t="s">
        <v>88</v>
      </c>
      <c r="G227" s="6" t="s">
        <v>106</v>
      </c>
      <c r="H227" s="6" t="s">
        <v>55</v>
      </c>
      <c r="I227" s="7" t="n">
        <v>27.76</v>
      </c>
      <c r="J227" s="8" t="n">
        <v>1209.4</v>
      </c>
      <c r="K227" s="7" t="n">
        <v>18.95</v>
      </c>
      <c r="L227" s="7" t="n">
        <v>22917.65</v>
      </c>
      <c r="M227" s="6" t="s">
        <v>315</v>
      </c>
    </row>
    <row r="228" customFormat="false" ht="15" hidden="false" customHeight="false" outlineLevel="0" collapsed="false">
      <c r="A228" s="6" t="s">
        <v>544</v>
      </c>
      <c r="B228" s="6" t="s">
        <v>526</v>
      </c>
      <c r="C228" s="6" t="s">
        <v>527</v>
      </c>
      <c r="D228" s="6" t="s">
        <v>47</v>
      </c>
      <c r="E228" s="6" t="s">
        <v>48</v>
      </c>
      <c r="F228" s="6" t="s">
        <v>54</v>
      </c>
      <c r="G228" s="6" t="s">
        <v>147</v>
      </c>
      <c r="H228" s="6" t="s">
        <v>77</v>
      </c>
      <c r="I228" s="7" t="n">
        <v>9.1</v>
      </c>
      <c r="J228" s="8" t="n">
        <v>775.9</v>
      </c>
      <c r="K228" s="7" t="n">
        <v>8.64</v>
      </c>
      <c r="L228" s="7" t="n">
        <v>6703.55</v>
      </c>
      <c r="M228" s="6" t="s">
        <v>545</v>
      </c>
    </row>
    <row r="229" customFormat="false" ht="15" hidden="false" customHeight="false" outlineLevel="0" collapsed="false">
      <c r="A229" s="6" t="s">
        <v>546</v>
      </c>
      <c r="B229" s="6" t="s">
        <v>526</v>
      </c>
      <c r="C229" s="6" t="s">
        <v>527</v>
      </c>
      <c r="D229" s="6" t="s">
        <v>47</v>
      </c>
      <c r="E229" s="6" t="s">
        <v>48</v>
      </c>
      <c r="F229" s="6" t="s">
        <v>88</v>
      </c>
      <c r="G229" s="6" t="s">
        <v>50</v>
      </c>
      <c r="H229" s="6" t="s">
        <v>55</v>
      </c>
      <c r="I229" s="7" t="n">
        <v>28.32</v>
      </c>
      <c r="J229" s="8" t="n">
        <v>838.3</v>
      </c>
      <c r="K229" s="7" t="n">
        <v>26.17</v>
      </c>
      <c r="L229" s="7" t="n">
        <v>21938.05</v>
      </c>
      <c r="M229" s="6" t="s">
        <v>487</v>
      </c>
    </row>
    <row r="230" customFormat="false" ht="15" hidden="false" customHeight="false" outlineLevel="0" collapsed="false">
      <c r="A230" s="6" t="s">
        <v>547</v>
      </c>
      <c r="B230" s="6" t="s">
        <v>526</v>
      </c>
      <c r="C230" s="6" t="s">
        <v>527</v>
      </c>
      <c r="D230" s="6" t="s">
        <v>47</v>
      </c>
      <c r="E230" s="6" t="s">
        <v>48</v>
      </c>
      <c r="F230" s="6" t="s">
        <v>88</v>
      </c>
      <c r="G230" s="6" t="s">
        <v>106</v>
      </c>
      <c r="H230" s="6" t="s">
        <v>55</v>
      </c>
      <c r="I230" s="7" t="n">
        <v>28.49</v>
      </c>
      <c r="J230" s="8" t="n">
        <v>1393.1</v>
      </c>
      <c r="K230" s="7" t="n">
        <v>19.45</v>
      </c>
      <c r="L230" s="7" t="n">
        <v>27096.25</v>
      </c>
      <c r="M230" s="6" t="s">
        <v>548</v>
      </c>
    </row>
    <row r="231" customFormat="false" ht="15" hidden="false" customHeight="false" outlineLevel="0" collapsed="false">
      <c r="A231" s="6" t="s">
        <v>549</v>
      </c>
      <c r="B231" s="6" t="s">
        <v>526</v>
      </c>
      <c r="C231" s="6" t="s">
        <v>527</v>
      </c>
      <c r="D231" s="6" t="s">
        <v>47</v>
      </c>
      <c r="E231" s="6" t="s">
        <v>48</v>
      </c>
      <c r="F231" s="6" t="s">
        <v>88</v>
      </c>
      <c r="G231" s="6" t="s">
        <v>66</v>
      </c>
      <c r="H231" s="6" t="s">
        <v>55</v>
      </c>
      <c r="I231" s="7" t="n">
        <v>29.47</v>
      </c>
      <c r="J231" s="8" t="n">
        <v>1048.2</v>
      </c>
      <c r="K231" s="7" t="n">
        <v>28.47</v>
      </c>
      <c r="L231" s="7" t="n">
        <v>29843.26</v>
      </c>
      <c r="M231" s="6" t="s">
        <v>550</v>
      </c>
    </row>
    <row r="232" customFormat="false" ht="15" hidden="false" customHeight="false" outlineLevel="0" collapsed="false">
      <c r="A232" s="6" t="s">
        <v>551</v>
      </c>
      <c r="B232" s="6" t="s">
        <v>526</v>
      </c>
      <c r="C232" s="6" t="s">
        <v>527</v>
      </c>
      <c r="D232" s="6" t="s">
        <v>47</v>
      </c>
      <c r="E232" s="6" t="s">
        <v>48</v>
      </c>
      <c r="F232" s="6" t="s">
        <v>88</v>
      </c>
      <c r="G232" s="6" t="s">
        <v>147</v>
      </c>
      <c r="H232" s="6" t="s">
        <v>51</v>
      </c>
      <c r="I232" s="7" t="n">
        <v>28.98</v>
      </c>
      <c r="J232" s="8" t="n">
        <v>492.2</v>
      </c>
      <c r="K232" s="7" t="n">
        <v>26.16</v>
      </c>
      <c r="L232" s="7" t="n">
        <v>12876.5</v>
      </c>
      <c r="M232" s="6" t="s">
        <v>552</v>
      </c>
    </row>
    <row r="233" customFormat="false" ht="15" hidden="false" customHeight="false" outlineLevel="0" collapsed="false">
      <c r="A233" s="6" t="s">
        <v>553</v>
      </c>
      <c r="B233" s="6" t="s">
        <v>526</v>
      </c>
      <c r="C233" s="6" t="s">
        <v>527</v>
      </c>
      <c r="D233" s="6" t="s">
        <v>47</v>
      </c>
      <c r="E233" s="6" t="s">
        <v>48</v>
      </c>
      <c r="F233" s="6" t="s">
        <v>65</v>
      </c>
      <c r="G233" s="6" t="s">
        <v>62</v>
      </c>
      <c r="H233" s="6" t="s">
        <v>51</v>
      </c>
      <c r="I233" s="7" t="n">
        <v>31.08</v>
      </c>
      <c r="J233" s="8" t="n">
        <v>679.6</v>
      </c>
      <c r="K233" s="7" t="n">
        <v>22.15</v>
      </c>
      <c r="L233" s="7" t="n">
        <v>15052.7</v>
      </c>
      <c r="M233" s="6" t="s">
        <v>554</v>
      </c>
    </row>
    <row r="234" customFormat="false" ht="15" hidden="false" customHeight="false" outlineLevel="0" collapsed="false">
      <c r="A234" s="6" t="s">
        <v>555</v>
      </c>
      <c r="B234" s="6" t="s">
        <v>526</v>
      </c>
      <c r="C234" s="6" t="s">
        <v>527</v>
      </c>
      <c r="D234" s="6" t="s">
        <v>47</v>
      </c>
      <c r="E234" s="6" t="s">
        <v>48</v>
      </c>
      <c r="F234" s="6" t="s">
        <v>49</v>
      </c>
      <c r="G234" s="6" t="s">
        <v>106</v>
      </c>
      <c r="H234" s="6" t="s">
        <v>51</v>
      </c>
      <c r="I234" s="7" t="n">
        <v>29.94</v>
      </c>
      <c r="J234" s="8" t="n">
        <v>736.6</v>
      </c>
      <c r="K234" s="7" t="n">
        <v>18.49</v>
      </c>
      <c r="L234" s="7" t="n">
        <v>13619.04</v>
      </c>
      <c r="M234" s="6" t="s">
        <v>91</v>
      </c>
    </row>
    <row r="235" customFormat="false" ht="15" hidden="false" customHeight="false" outlineLevel="0" collapsed="false">
      <c r="A235" s="6" t="s">
        <v>556</v>
      </c>
      <c r="B235" s="6" t="s">
        <v>526</v>
      </c>
      <c r="C235" s="6" t="s">
        <v>527</v>
      </c>
      <c r="D235" s="6" t="s">
        <v>47</v>
      </c>
      <c r="E235" s="6" t="s">
        <v>48</v>
      </c>
      <c r="F235" s="6" t="s">
        <v>61</v>
      </c>
      <c r="G235" s="6" t="s">
        <v>50</v>
      </c>
      <c r="H235" s="6" t="s">
        <v>55</v>
      </c>
      <c r="I235" s="7" t="n">
        <v>37.9</v>
      </c>
      <c r="J235" s="8" t="n">
        <v>777</v>
      </c>
      <c r="K235" s="7" t="n">
        <v>35.02</v>
      </c>
      <c r="L235" s="7" t="n">
        <v>27210.35</v>
      </c>
      <c r="M235" s="6" t="s">
        <v>557</v>
      </c>
    </row>
    <row r="236" customFormat="false" ht="15" hidden="false" customHeight="false" outlineLevel="0" collapsed="false">
      <c r="A236" s="6" t="s">
        <v>558</v>
      </c>
      <c r="B236" s="6" t="s">
        <v>526</v>
      </c>
      <c r="C236" s="6" t="s">
        <v>527</v>
      </c>
      <c r="D236" s="6" t="s">
        <v>47</v>
      </c>
      <c r="E236" s="6" t="s">
        <v>48</v>
      </c>
      <c r="F236" s="6" t="s">
        <v>54</v>
      </c>
      <c r="G236" s="6" t="s">
        <v>62</v>
      </c>
      <c r="H236" s="6" t="s">
        <v>55</v>
      </c>
      <c r="I236" s="7" t="n">
        <v>9.88</v>
      </c>
      <c r="J236" s="8" t="n">
        <v>664.3</v>
      </c>
      <c r="K236" s="7" t="n">
        <v>7.78</v>
      </c>
      <c r="L236" s="7" t="n">
        <v>5168.14</v>
      </c>
      <c r="M236" s="6" t="s">
        <v>397</v>
      </c>
    </row>
    <row r="237" customFormat="false" ht="15" hidden="false" customHeight="false" outlineLevel="0" collapsed="false">
      <c r="A237" s="6" t="s">
        <v>559</v>
      </c>
      <c r="B237" s="6" t="s">
        <v>526</v>
      </c>
      <c r="C237" s="6" t="s">
        <v>527</v>
      </c>
      <c r="D237" s="6" t="s">
        <v>47</v>
      </c>
      <c r="E237" s="6" t="s">
        <v>48</v>
      </c>
      <c r="F237" s="6" t="s">
        <v>61</v>
      </c>
      <c r="G237" s="6" t="s">
        <v>50</v>
      </c>
      <c r="H237" s="6" t="s">
        <v>77</v>
      </c>
      <c r="I237" s="7" t="n">
        <v>37.58</v>
      </c>
      <c r="J237" s="8" t="n">
        <v>943.9</v>
      </c>
      <c r="K237" s="7" t="n">
        <v>33.07</v>
      </c>
      <c r="L237" s="7" t="n">
        <v>31213.93</v>
      </c>
      <c r="M237" s="6" t="s">
        <v>421</v>
      </c>
    </row>
    <row r="238" customFormat="false" ht="15" hidden="false" customHeight="false" outlineLevel="0" collapsed="false">
      <c r="A238" s="6" t="s">
        <v>560</v>
      </c>
      <c r="B238" s="6" t="s">
        <v>561</v>
      </c>
      <c r="C238" s="6" t="s">
        <v>562</v>
      </c>
      <c r="D238" s="6" t="s">
        <v>194</v>
      </c>
      <c r="E238" s="6" t="s">
        <v>48</v>
      </c>
      <c r="F238" s="6" t="s">
        <v>65</v>
      </c>
      <c r="G238" s="6" t="s">
        <v>62</v>
      </c>
      <c r="H238" s="6" t="s">
        <v>55</v>
      </c>
      <c r="I238" s="7" t="n">
        <v>32.06</v>
      </c>
      <c r="J238" s="8" t="n">
        <v>982.7</v>
      </c>
      <c r="K238" s="7" t="n">
        <v>25.25</v>
      </c>
      <c r="L238" s="7" t="n">
        <v>24813.17</v>
      </c>
      <c r="M238" s="6" t="s">
        <v>453</v>
      </c>
    </row>
    <row r="239" customFormat="false" ht="15" hidden="false" customHeight="false" outlineLevel="0" collapsed="false">
      <c r="A239" s="6" t="s">
        <v>563</v>
      </c>
      <c r="B239" s="6" t="s">
        <v>561</v>
      </c>
      <c r="C239" s="6" t="s">
        <v>562</v>
      </c>
      <c r="D239" s="6" t="s">
        <v>194</v>
      </c>
      <c r="E239" s="6" t="s">
        <v>48</v>
      </c>
      <c r="F239" s="6" t="s">
        <v>88</v>
      </c>
      <c r="G239" s="6" t="s">
        <v>50</v>
      </c>
      <c r="H239" s="6" t="s">
        <v>51</v>
      </c>
      <c r="I239" s="7" t="n">
        <v>27.34</v>
      </c>
      <c r="J239" s="8" t="n">
        <v>700.5</v>
      </c>
      <c r="K239" s="7" t="n">
        <v>22.86</v>
      </c>
      <c r="L239" s="7" t="n">
        <v>16013.48</v>
      </c>
      <c r="M239" s="6" t="s">
        <v>564</v>
      </c>
    </row>
    <row r="240" customFormat="false" ht="15" hidden="false" customHeight="false" outlineLevel="0" collapsed="false">
      <c r="A240" s="6" t="s">
        <v>565</v>
      </c>
      <c r="B240" s="6" t="s">
        <v>561</v>
      </c>
      <c r="C240" s="6" t="s">
        <v>562</v>
      </c>
      <c r="D240" s="6" t="s">
        <v>194</v>
      </c>
      <c r="E240" s="6" t="s">
        <v>48</v>
      </c>
      <c r="F240" s="6" t="s">
        <v>65</v>
      </c>
      <c r="G240" s="6" t="s">
        <v>66</v>
      </c>
      <c r="H240" s="6" t="s">
        <v>55</v>
      </c>
      <c r="I240" s="7" t="n">
        <v>32.41</v>
      </c>
      <c r="J240" s="8" t="n">
        <v>300</v>
      </c>
      <c r="K240" s="7" t="n">
        <v>31.31</v>
      </c>
      <c r="L240" s="7" t="n">
        <v>9393</v>
      </c>
      <c r="M240" s="6" t="s">
        <v>498</v>
      </c>
    </row>
    <row r="241" customFormat="false" ht="15" hidden="false" customHeight="false" outlineLevel="0" collapsed="false">
      <c r="A241" s="6" t="s">
        <v>566</v>
      </c>
      <c r="B241" s="6" t="s">
        <v>561</v>
      </c>
      <c r="C241" s="6" t="s">
        <v>562</v>
      </c>
      <c r="D241" s="6" t="s">
        <v>194</v>
      </c>
      <c r="E241" s="6" t="s">
        <v>48</v>
      </c>
      <c r="F241" s="6" t="s">
        <v>49</v>
      </c>
      <c r="G241" s="6" t="s">
        <v>147</v>
      </c>
      <c r="H241" s="6" t="s">
        <v>77</v>
      </c>
      <c r="I241" s="7" t="n">
        <v>28.47</v>
      </c>
      <c r="J241" s="8" t="n">
        <v>714.1</v>
      </c>
      <c r="K241" s="7" t="n">
        <v>27.05</v>
      </c>
      <c r="L241" s="7" t="n">
        <v>19315.56</v>
      </c>
      <c r="M241" s="6" t="s">
        <v>425</v>
      </c>
    </row>
    <row r="242" customFormat="false" ht="15" hidden="false" customHeight="false" outlineLevel="0" collapsed="false">
      <c r="A242" s="6" t="s">
        <v>567</v>
      </c>
      <c r="B242" s="6" t="s">
        <v>561</v>
      </c>
      <c r="C242" s="6" t="s">
        <v>562</v>
      </c>
      <c r="D242" s="6" t="s">
        <v>194</v>
      </c>
      <c r="E242" s="6" t="s">
        <v>48</v>
      </c>
      <c r="F242" s="6" t="s">
        <v>54</v>
      </c>
      <c r="G242" s="6" t="s">
        <v>106</v>
      </c>
      <c r="H242" s="6" t="s">
        <v>55</v>
      </c>
      <c r="I242" s="7" t="n">
        <v>9.18</v>
      </c>
      <c r="J242" s="8" t="n">
        <v>923.8</v>
      </c>
      <c r="K242" s="7" t="n">
        <v>6.26</v>
      </c>
      <c r="L242" s="7" t="n">
        <v>5782.77</v>
      </c>
      <c r="M242" s="6" t="s">
        <v>568</v>
      </c>
    </row>
    <row r="243" customFormat="false" ht="15" hidden="false" customHeight="false" outlineLevel="0" collapsed="false">
      <c r="A243" s="6" t="s">
        <v>569</v>
      </c>
      <c r="B243" s="6" t="s">
        <v>561</v>
      </c>
      <c r="C243" s="6" t="s">
        <v>562</v>
      </c>
      <c r="D243" s="6" t="s">
        <v>194</v>
      </c>
      <c r="E243" s="6" t="s">
        <v>48</v>
      </c>
      <c r="F243" s="6" t="s">
        <v>88</v>
      </c>
      <c r="G243" s="6" t="s">
        <v>62</v>
      </c>
      <c r="H243" s="6" t="s">
        <v>55</v>
      </c>
      <c r="I243" s="7" t="n">
        <v>28.65</v>
      </c>
      <c r="J243" s="8" t="n">
        <v>568.4</v>
      </c>
      <c r="K243" s="7" t="n">
        <v>22.56</v>
      </c>
      <c r="L243" s="7" t="n">
        <v>12824.02</v>
      </c>
      <c r="M243" s="6" t="s">
        <v>449</v>
      </c>
    </row>
    <row r="244" customFormat="false" ht="15" hidden="false" customHeight="false" outlineLevel="0" collapsed="false">
      <c r="A244" s="6" t="s">
        <v>570</v>
      </c>
      <c r="B244" s="6" t="s">
        <v>561</v>
      </c>
      <c r="C244" s="6" t="s">
        <v>562</v>
      </c>
      <c r="D244" s="6" t="s">
        <v>194</v>
      </c>
      <c r="E244" s="6" t="s">
        <v>48</v>
      </c>
      <c r="F244" s="6" t="s">
        <v>88</v>
      </c>
      <c r="G244" s="6" t="s">
        <v>106</v>
      </c>
      <c r="H244" s="6" t="s">
        <v>55</v>
      </c>
      <c r="I244" s="7" t="n">
        <v>29.38</v>
      </c>
      <c r="J244" s="8" t="n">
        <v>988</v>
      </c>
      <c r="K244" s="7" t="n">
        <v>20.05</v>
      </c>
      <c r="L244" s="7" t="n">
        <v>19809.35</v>
      </c>
      <c r="M244" s="6" t="s">
        <v>571</v>
      </c>
    </row>
    <row r="245" customFormat="false" ht="15" hidden="false" customHeight="false" outlineLevel="0" collapsed="false">
      <c r="A245" s="6" t="s">
        <v>572</v>
      </c>
      <c r="B245" s="6" t="s">
        <v>561</v>
      </c>
      <c r="C245" s="6" t="s">
        <v>562</v>
      </c>
      <c r="D245" s="6" t="s">
        <v>194</v>
      </c>
      <c r="E245" s="6" t="s">
        <v>48</v>
      </c>
      <c r="F245" s="6" t="s">
        <v>54</v>
      </c>
      <c r="G245" s="6" t="s">
        <v>66</v>
      </c>
      <c r="H245" s="6" t="s">
        <v>51</v>
      </c>
      <c r="I245" s="7" t="n">
        <v>9.28</v>
      </c>
      <c r="J245" s="8" t="n">
        <v>477.7</v>
      </c>
      <c r="K245" s="7" t="n">
        <v>8.11</v>
      </c>
      <c r="L245" s="7" t="n">
        <v>3873.98</v>
      </c>
      <c r="M245" s="6" t="s">
        <v>289</v>
      </c>
    </row>
    <row r="246" customFormat="false" ht="15" hidden="false" customHeight="false" outlineLevel="0" collapsed="false">
      <c r="A246" s="6" t="s">
        <v>573</v>
      </c>
      <c r="B246" s="6" t="s">
        <v>561</v>
      </c>
      <c r="C246" s="6" t="s">
        <v>562</v>
      </c>
      <c r="D246" s="6" t="s">
        <v>194</v>
      </c>
      <c r="E246" s="6" t="s">
        <v>48</v>
      </c>
      <c r="F246" s="6" t="s">
        <v>61</v>
      </c>
      <c r="G246" s="6" t="s">
        <v>50</v>
      </c>
      <c r="H246" s="6" t="s">
        <v>77</v>
      </c>
      <c r="I246" s="7" t="n">
        <v>37.82</v>
      </c>
      <c r="J246" s="8" t="n">
        <v>577.6</v>
      </c>
      <c r="K246" s="7" t="n">
        <v>33.29</v>
      </c>
      <c r="L246" s="7" t="n">
        <v>19226.81</v>
      </c>
      <c r="M246" s="6" t="s">
        <v>574</v>
      </c>
    </row>
    <row r="247" customFormat="false" ht="15" hidden="false" customHeight="false" outlineLevel="0" collapsed="false">
      <c r="A247" s="6" t="s">
        <v>575</v>
      </c>
      <c r="B247" s="6" t="s">
        <v>561</v>
      </c>
      <c r="C247" s="6" t="s">
        <v>562</v>
      </c>
      <c r="D247" s="6" t="s">
        <v>194</v>
      </c>
      <c r="E247" s="6" t="s">
        <v>48</v>
      </c>
      <c r="F247" s="6" t="s">
        <v>61</v>
      </c>
      <c r="G247" s="6" t="s">
        <v>147</v>
      </c>
      <c r="H247" s="6" t="s">
        <v>77</v>
      </c>
      <c r="I247" s="7" t="n">
        <v>39.3</v>
      </c>
      <c r="J247" s="8" t="n">
        <v>1002.2</v>
      </c>
      <c r="K247" s="7" t="n">
        <v>37.33</v>
      </c>
      <c r="L247" s="7" t="n">
        <v>37412.39</v>
      </c>
      <c r="M247" s="6" t="s">
        <v>502</v>
      </c>
    </row>
    <row r="248" customFormat="false" ht="15" hidden="false" customHeight="false" outlineLevel="0" collapsed="false">
      <c r="A248" s="6" t="s">
        <v>576</v>
      </c>
      <c r="B248" s="6" t="s">
        <v>561</v>
      </c>
      <c r="C248" s="6" t="s">
        <v>562</v>
      </c>
      <c r="D248" s="6" t="s">
        <v>194</v>
      </c>
      <c r="E248" s="6" t="s">
        <v>48</v>
      </c>
      <c r="F248" s="6" t="s">
        <v>65</v>
      </c>
      <c r="G248" s="6" t="s">
        <v>66</v>
      </c>
      <c r="H248" s="6" t="s">
        <v>77</v>
      </c>
      <c r="I248" s="7" t="n">
        <v>32.28</v>
      </c>
      <c r="J248" s="8" t="n">
        <v>822.8</v>
      </c>
      <c r="K248" s="7" t="n">
        <v>29.7</v>
      </c>
      <c r="L248" s="7" t="n">
        <v>24435.75</v>
      </c>
      <c r="M248" s="6" t="s">
        <v>243</v>
      </c>
    </row>
    <row r="249" customFormat="false" ht="15" hidden="false" customHeight="false" outlineLevel="0" collapsed="false">
      <c r="A249" s="6" t="s">
        <v>577</v>
      </c>
      <c r="B249" s="6" t="s">
        <v>561</v>
      </c>
      <c r="C249" s="6" t="s">
        <v>562</v>
      </c>
      <c r="D249" s="6" t="s">
        <v>194</v>
      </c>
      <c r="E249" s="6" t="s">
        <v>48</v>
      </c>
      <c r="F249" s="6" t="s">
        <v>65</v>
      </c>
      <c r="G249" s="6" t="s">
        <v>62</v>
      </c>
      <c r="H249" s="6" t="s">
        <v>51</v>
      </c>
      <c r="I249" s="7" t="n">
        <v>32.76</v>
      </c>
      <c r="J249" s="8" t="n">
        <v>343.4</v>
      </c>
      <c r="K249" s="7" t="n">
        <v>23.34</v>
      </c>
      <c r="L249" s="7" t="n">
        <v>8016.01</v>
      </c>
      <c r="M249" s="6" t="s">
        <v>277</v>
      </c>
    </row>
    <row r="250" customFormat="false" ht="15" hidden="false" customHeight="false" outlineLevel="0" collapsed="false">
      <c r="A250" s="6" t="s">
        <v>578</v>
      </c>
      <c r="B250" s="6" t="s">
        <v>561</v>
      </c>
      <c r="C250" s="6" t="s">
        <v>562</v>
      </c>
      <c r="D250" s="6" t="s">
        <v>194</v>
      </c>
      <c r="E250" s="6" t="s">
        <v>48</v>
      </c>
      <c r="F250" s="6" t="s">
        <v>49</v>
      </c>
      <c r="G250" s="6" t="s">
        <v>50</v>
      </c>
      <c r="H250" s="6" t="s">
        <v>77</v>
      </c>
      <c r="I250" s="7" t="n">
        <v>27.17</v>
      </c>
      <c r="J250" s="8" t="n">
        <v>1020.7</v>
      </c>
      <c r="K250" s="7" t="n">
        <v>23.91</v>
      </c>
      <c r="L250" s="7" t="n">
        <v>24404.58</v>
      </c>
      <c r="M250" s="6" t="s">
        <v>579</v>
      </c>
    </row>
    <row r="251" customFormat="false" ht="15" hidden="false" customHeight="false" outlineLevel="0" collapsed="false">
      <c r="A251" s="6" t="s">
        <v>580</v>
      </c>
      <c r="B251" s="6" t="s">
        <v>561</v>
      </c>
      <c r="C251" s="6" t="s">
        <v>562</v>
      </c>
      <c r="D251" s="6" t="s">
        <v>194</v>
      </c>
      <c r="E251" s="6" t="s">
        <v>48</v>
      </c>
      <c r="F251" s="6" t="s">
        <v>49</v>
      </c>
      <c r="G251" s="6" t="s">
        <v>66</v>
      </c>
      <c r="H251" s="6" t="s">
        <v>51</v>
      </c>
      <c r="I251" s="7" t="n">
        <v>27.97</v>
      </c>
      <c r="J251" s="8" t="n">
        <v>1319</v>
      </c>
      <c r="K251" s="7" t="n">
        <v>24.44</v>
      </c>
      <c r="L251" s="7" t="n">
        <v>32237.21</v>
      </c>
      <c r="M251" s="6" t="s">
        <v>581</v>
      </c>
    </row>
    <row r="252" customFormat="false" ht="15" hidden="false" customHeight="false" outlineLevel="0" collapsed="false">
      <c r="A252" s="6" t="s">
        <v>582</v>
      </c>
      <c r="B252" s="6" t="s">
        <v>561</v>
      </c>
      <c r="C252" s="6" t="s">
        <v>562</v>
      </c>
      <c r="D252" s="6" t="s">
        <v>194</v>
      </c>
      <c r="E252" s="6" t="s">
        <v>48</v>
      </c>
      <c r="F252" s="6" t="s">
        <v>54</v>
      </c>
      <c r="G252" s="6" t="s">
        <v>106</v>
      </c>
      <c r="H252" s="6" t="s">
        <v>77</v>
      </c>
      <c r="I252" s="7" t="n">
        <v>9.5</v>
      </c>
      <c r="J252" s="8" t="n">
        <v>458.9</v>
      </c>
      <c r="K252" s="7" t="n">
        <v>6.18</v>
      </c>
      <c r="L252" s="7" t="n">
        <v>2835.78</v>
      </c>
      <c r="M252" s="6" t="s">
        <v>583</v>
      </c>
    </row>
    <row r="253" customFormat="false" ht="15" hidden="false" customHeight="false" outlineLevel="0" collapsed="false">
      <c r="A253" s="6" t="s">
        <v>584</v>
      </c>
      <c r="B253" s="6" t="s">
        <v>561</v>
      </c>
      <c r="C253" s="6" t="s">
        <v>562</v>
      </c>
      <c r="D253" s="6" t="s">
        <v>194</v>
      </c>
      <c r="E253" s="6" t="s">
        <v>48</v>
      </c>
      <c r="F253" s="6" t="s">
        <v>49</v>
      </c>
      <c r="G253" s="6" t="s">
        <v>147</v>
      </c>
      <c r="H253" s="6" t="s">
        <v>55</v>
      </c>
      <c r="I253" s="7" t="n">
        <v>28.84</v>
      </c>
      <c r="J253" s="8" t="n">
        <v>1224</v>
      </c>
      <c r="K253" s="7" t="n">
        <v>28.77</v>
      </c>
      <c r="L253" s="7" t="n">
        <v>35215.69</v>
      </c>
      <c r="M253" s="6" t="s">
        <v>585</v>
      </c>
    </row>
    <row r="254" customFormat="false" ht="15" hidden="false" customHeight="false" outlineLevel="0" collapsed="false">
      <c r="A254" s="6" t="s">
        <v>586</v>
      </c>
      <c r="B254" s="6" t="s">
        <v>561</v>
      </c>
      <c r="C254" s="6" t="s">
        <v>562</v>
      </c>
      <c r="D254" s="6" t="s">
        <v>194</v>
      </c>
      <c r="E254" s="6" t="s">
        <v>48</v>
      </c>
      <c r="F254" s="6" t="s">
        <v>49</v>
      </c>
      <c r="G254" s="6" t="s">
        <v>50</v>
      </c>
      <c r="H254" s="6" t="s">
        <v>51</v>
      </c>
      <c r="I254" s="7" t="n">
        <v>28.87</v>
      </c>
      <c r="J254" s="8" t="n">
        <v>575.1</v>
      </c>
      <c r="K254" s="7" t="n">
        <v>24.14</v>
      </c>
      <c r="L254" s="7" t="n">
        <v>13883.59</v>
      </c>
      <c r="M254" s="6" t="s">
        <v>416</v>
      </c>
    </row>
    <row r="255" customFormat="false" ht="15" hidden="false" customHeight="false" outlineLevel="0" collapsed="false">
      <c r="A255" s="6" t="s">
        <v>587</v>
      </c>
      <c r="B255" s="6" t="s">
        <v>588</v>
      </c>
      <c r="C255" s="6" t="s">
        <v>589</v>
      </c>
      <c r="D255" s="6" t="s">
        <v>87</v>
      </c>
      <c r="E255" s="6" t="s">
        <v>48</v>
      </c>
      <c r="F255" s="6" t="s">
        <v>88</v>
      </c>
      <c r="G255" s="6" t="s">
        <v>62</v>
      </c>
      <c r="H255" s="6" t="s">
        <v>51</v>
      </c>
      <c r="I255" s="7" t="n">
        <v>27.14</v>
      </c>
      <c r="J255" s="8" t="n">
        <v>1472.8</v>
      </c>
      <c r="K255" s="7" t="n">
        <v>19.33</v>
      </c>
      <c r="L255" s="7" t="n">
        <v>28469.34</v>
      </c>
      <c r="M255" s="6" t="s">
        <v>590</v>
      </c>
    </row>
    <row r="256" customFormat="false" ht="15" hidden="false" customHeight="false" outlineLevel="0" collapsed="false">
      <c r="A256" s="6" t="s">
        <v>591</v>
      </c>
      <c r="B256" s="6" t="s">
        <v>592</v>
      </c>
      <c r="C256" s="6" t="s">
        <v>593</v>
      </c>
      <c r="D256" s="6" t="s">
        <v>82</v>
      </c>
      <c r="E256" s="6" t="s">
        <v>48</v>
      </c>
      <c r="F256" s="6" t="s">
        <v>49</v>
      </c>
      <c r="G256" s="6" t="s">
        <v>50</v>
      </c>
      <c r="H256" s="6" t="s">
        <v>55</v>
      </c>
      <c r="I256" s="7" t="n">
        <v>27.09</v>
      </c>
      <c r="J256" s="8" t="n">
        <v>1030.8</v>
      </c>
      <c r="K256" s="7" t="n">
        <v>25.03</v>
      </c>
      <c r="L256" s="7" t="n">
        <v>25801.81</v>
      </c>
      <c r="M256" s="6" t="s">
        <v>594</v>
      </c>
    </row>
    <row r="257" customFormat="false" ht="15" hidden="false" customHeight="false" outlineLevel="0" collapsed="false">
      <c r="A257" s="6" t="s">
        <v>595</v>
      </c>
      <c r="B257" s="6" t="s">
        <v>592</v>
      </c>
      <c r="C257" s="6" t="s">
        <v>593</v>
      </c>
      <c r="D257" s="6" t="s">
        <v>82</v>
      </c>
      <c r="E257" s="6" t="s">
        <v>48</v>
      </c>
      <c r="F257" s="6" t="s">
        <v>49</v>
      </c>
      <c r="G257" s="6" t="s">
        <v>147</v>
      </c>
      <c r="H257" s="6" t="s">
        <v>77</v>
      </c>
      <c r="I257" s="7" t="n">
        <v>28.45</v>
      </c>
      <c r="J257" s="8" t="n">
        <v>1266.8</v>
      </c>
      <c r="K257" s="7" t="n">
        <v>27.03</v>
      </c>
      <c r="L257" s="7" t="n">
        <v>34241.02</v>
      </c>
      <c r="M257" s="6" t="s">
        <v>496</v>
      </c>
    </row>
    <row r="258" customFormat="false" ht="15" hidden="false" customHeight="false" outlineLevel="0" collapsed="false">
      <c r="A258" s="6" t="s">
        <v>596</v>
      </c>
      <c r="B258" s="6" t="s">
        <v>592</v>
      </c>
      <c r="C258" s="6" t="s">
        <v>593</v>
      </c>
      <c r="D258" s="6" t="s">
        <v>82</v>
      </c>
      <c r="E258" s="6" t="s">
        <v>48</v>
      </c>
      <c r="F258" s="6" t="s">
        <v>65</v>
      </c>
      <c r="G258" s="6" t="s">
        <v>66</v>
      </c>
      <c r="H258" s="6" t="s">
        <v>55</v>
      </c>
      <c r="I258" s="7" t="n">
        <v>31.97</v>
      </c>
      <c r="J258" s="8" t="n">
        <v>1014.7</v>
      </c>
      <c r="K258" s="7" t="n">
        <v>30.88</v>
      </c>
      <c r="L258" s="7" t="n">
        <v>31335.39</v>
      </c>
      <c r="M258" s="6" t="s">
        <v>597</v>
      </c>
    </row>
    <row r="259" customFormat="false" ht="15" hidden="false" customHeight="false" outlineLevel="0" collapsed="false">
      <c r="A259" s="6" t="s">
        <v>598</v>
      </c>
      <c r="B259" s="6" t="s">
        <v>592</v>
      </c>
      <c r="C259" s="6" t="s">
        <v>593</v>
      </c>
      <c r="D259" s="6" t="s">
        <v>82</v>
      </c>
      <c r="E259" s="6" t="s">
        <v>48</v>
      </c>
      <c r="F259" s="6" t="s">
        <v>88</v>
      </c>
      <c r="G259" s="6" t="s">
        <v>50</v>
      </c>
      <c r="H259" s="6" t="s">
        <v>51</v>
      </c>
      <c r="I259" s="7" t="n">
        <v>29.16</v>
      </c>
      <c r="J259" s="8" t="n">
        <v>1168.1</v>
      </c>
      <c r="K259" s="7" t="n">
        <v>24.37</v>
      </c>
      <c r="L259" s="7" t="n">
        <v>28466.33</v>
      </c>
      <c r="M259" s="6" t="s">
        <v>599</v>
      </c>
    </row>
    <row r="260" customFormat="false" ht="15" hidden="false" customHeight="false" outlineLevel="0" collapsed="false">
      <c r="A260" s="6" t="s">
        <v>600</v>
      </c>
      <c r="B260" s="6" t="s">
        <v>592</v>
      </c>
      <c r="C260" s="6" t="s">
        <v>593</v>
      </c>
      <c r="D260" s="6" t="s">
        <v>82</v>
      </c>
      <c r="E260" s="6" t="s">
        <v>48</v>
      </c>
      <c r="F260" s="6" t="s">
        <v>65</v>
      </c>
      <c r="G260" s="6" t="s">
        <v>50</v>
      </c>
      <c r="H260" s="6" t="s">
        <v>51</v>
      </c>
      <c r="I260" s="7" t="n">
        <v>31.93</v>
      </c>
      <c r="J260" s="8" t="n">
        <v>1257.3</v>
      </c>
      <c r="K260" s="7" t="n">
        <v>26.7</v>
      </c>
      <c r="L260" s="7" t="n">
        <v>33571.15</v>
      </c>
      <c r="M260" s="6" t="s">
        <v>282</v>
      </c>
    </row>
    <row r="261" customFormat="false" ht="15" hidden="false" customHeight="false" outlineLevel="0" collapsed="false">
      <c r="A261" s="6" t="s">
        <v>601</v>
      </c>
      <c r="B261" s="6" t="s">
        <v>592</v>
      </c>
      <c r="C261" s="6" t="s">
        <v>593</v>
      </c>
      <c r="D261" s="6" t="s">
        <v>82</v>
      </c>
      <c r="E261" s="6" t="s">
        <v>48</v>
      </c>
      <c r="F261" s="6" t="s">
        <v>65</v>
      </c>
      <c r="G261" s="6" t="s">
        <v>147</v>
      </c>
      <c r="H261" s="6" t="s">
        <v>51</v>
      </c>
      <c r="I261" s="7" t="n">
        <v>31.58</v>
      </c>
      <c r="J261" s="8" t="n">
        <v>1272.9</v>
      </c>
      <c r="K261" s="7" t="n">
        <v>28.5</v>
      </c>
      <c r="L261" s="7" t="n">
        <v>36277.19</v>
      </c>
      <c r="M261" s="6" t="s">
        <v>602</v>
      </c>
    </row>
    <row r="262" customFormat="false" ht="15" hidden="false" customHeight="false" outlineLevel="0" collapsed="false">
      <c r="A262" s="6" t="s">
        <v>603</v>
      </c>
      <c r="B262" s="6" t="s">
        <v>592</v>
      </c>
      <c r="C262" s="6" t="s">
        <v>593</v>
      </c>
      <c r="D262" s="6" t="s">
        <v>82</v>
      </c>
      <c r="E262" s="6" t="s">
        <v>48</v>
      </c>
      <c r="F262" s="6" t="s">
        <v>49</v>
      </c>
      <c r="G262" s="6" t="s">
        <v>106</v>
      </c>
      <c r="H262" s="6" t="s">
        <v>77</v>
      </c>
      <c r="I262" s="7" t="n">
        <v>29.8</v>
      </c>
      <c r="J262" s="8" t="n">
        <v>347</v>
      </c>
      <c r="K262" s="7" t="n">
        <v>19.37</v>
      </c>
      <c r="L262" s="7" t="n">
        <v>6720.74</v>
      </c>
      <c r="M262" s="6" t="s">
        <v>604</v>
      </c>
    </row>
    <row r="263" customFormat="false" ht="15" hidden="false" customHeight="false" outlineLevel="0" collapsed="false">
      <c r="A263" s="6" t="s">
        <v>605</v>
      </c>
      <c r="B263" s="6" t="s">
        <v>592</v>
      </c>
      <c r="C263" s="6" t="s">
        <v>593</v>
      </c>
      <c r="D263" s="6" t="s">
        <v>82</v>
      </c>
      <c r="E263" s="6" t="s">
        <v>48</v>
      </c>
      <c r="F263" s="6" t="s">
        <v>54</v>
      </c>
      <c r="G263" s="6" t="s">
        <v>62</v>
      </c>
      <c r="H263" s="6" t="s">
        <v>55</v>
      </c>
      <c r="I263" s="7" t="n">
        <v>10.03</v>
      </c>
      <c r="J263" s="8" t="n">
        <v>1448.5</v>
      </c>
      <c r="K263" s="7" t="n">
        <v>7.9</v>
      </c>
      <c r="L263" s="7" t="n">
        <v>11443.31</v>
      </c>
      <c r="M263" s="6" t="s">
        <v>606</v>
      </c>
    </row>
    <row r="264" customFormat="false" ht="15" hidden="false" customHeight="false" outlineLevel="0" collapsed="false">
      <c r="A264" s="6" t="s">
        <v>607</v>
      </c>
      <c r="B264" s="6" t="s">
        <v>592</v>
      </c>
      <c r="C264" s="6" t="s">
        <v>593</v>
      </c>
      <c r="D264" s="6" t="s">
        <v>82</v>
      </c>
      <c r="E264" s="6" t="s">
        <v>48</v>
      </c>
      <c r="F264" s="6" t="s">
        <v>88</v>
      </c>
      <c r="G264" s="6" t="s">
        <v>50</v>
      </c>
      <c r="H264" s="6" t="s">
        <v>55</v>
      </c>
      <c r="I264" s="7" t="n">
        <v>27.72</v>
      </c>
      <c r="J264" s="8" t="n">
        <v>913.9</v>
      </c>
      <c r="K264" s="7" t="n">
        <v>25.62</v>
      </c>
      <c r="L264" s="7" t="n">
        <v>23412.93</v>
      </c>
      <c r="M264" s="6" t="s">
        <v>608</v>
      </c>
    </row>
    <row r="265" customFormat="false" ht="15" hidden="false" customHeight="false" outlineLevel="0" collapsed="false">
      <c r="A265" s="6" t="s">
        <v>609</v>
      </c>
      <c r="B265" s="6" t="s">
        <v>592</v>
      </c>
      <c r="C265" s="6" t="s">
        <v>593</v>
      </c>
      <c r="D265" s="6" t="s">
        <v>82</v>
      </c>
      <c r="E265" s="6" t="s">
        <v>48</v>
      </c>
      <c r="F265" s="6" t="s">
        <v>88</v>
      </c>
      <c r="G265" s="6" t="s">
        <v>66</v>
      </c>
      <c r="H265" s="6" t="s">
        <v>51</v>
      </c>
      <c r="I265" s="7" t="n">
        <v>28.79</v>
      </c>
      <c r="J265" s="8" t="n">
        <v>1053</v>
      </c>
      <c r="K265" s="7" t="n">
        <v>25.16</v>
      </c>
      <c r="L265" s="7" t="n">
        <v>26494.61</v>
      </c>
      <c r="M265" s="6" t="s">
        <v>111</v>
      </c>
    </row>
    <row r="266" customFormat="false" ht="15" hidden="false" customHeight="false" outlineLevel="0" collapsed="false">
      <c r="A266" s="6" t="s">
        <v>610</v>
      </c>
      <c r="B266" s="6" t="s">
        <v>592</v>
      </c>
      <c r="C266" s="6" t="s">
        <v>593</v>
      </c>
      <c r="D266" s="6" t="s">
        <v>82</v>
      </c>
      <c r="E266" s="6" t="s">
        <v>48</v>
      </c>
      <c r="F266" s="6" t="s">
        <v>65</v>
      </c>
      <c r="G266" s="6" t="s">
        <v>66</v>
      </c>
      <c r="H266" s="6" t="s">
        <v>51</v>
      </c>
      <c r="I266" s="7" t="n">
        <v>31.53</v>
      </c>
      <c r="J266" s="8" t="n">
        <v>1041.8</v>
      </c>
      <c r="K266" s="7" t="n">
        <v>27.56</v>
      </c>
      <c r="L266" s="7" t="n">
        <v>28711.58</v>
      </c>
      <c r="M266" s="6" t="s">
        <v>369</v>
      </c>
    </row>
    <row r="267" customFormat="false" ht="15" hidden="false" customHeight="false" outlineLevel="0" collapsed="false">
      <c r="A267" s="6" t="s">
        <v>611</v>
      </c>
      <c r="B267" s="6" t="s">
        <v>592</v>
      </c>
      <c r="C267" s="6" t="s">
        <v>593</v>
      </c>
      <c r="D267" s="6" t="s">
        <v>82</v>
      </c>
      <c r="E267" s="6" t="s">
        <v>48</v>
      </c>
      <c r="F267" s="6" t="s">
        <v>65</v>
      </c>
      <c r="G267" s="6" t="s">
        <v>50</v>
      </c>
      <c r="H267" s="6" t="s">
        <v>55</v>
      </c>
      <c r="I267" s="7" t="n">
        <v>32.14</v>
      </c>
      <c r="J267" s="8" t="n">
        <v>1090.2</v>
      </c>
      <c r="K267" s="7" t="n">
        <v>29.7</v>
      </c>
      <c r="L267" s="7" t="n">
        <v>32377.88</v>
      </c>
      <c r="M267" s="6" t="s">
        <v>612</v>
      </c>
    </row>
    <row r="268" customFormat="false" ht="15" hidden="false" customHeight="false" outlineLevel="0" collapsed="false">
      <c r="A268" s="6" t="s">
        <v>613</v>
      </c>
      <c r="B268" s="6" t="s">
        <v>592</v>
      </c>
      <c r="C268" s="6" t="s">
        <v>593</v>
      </c>
      <c r="D268" s="6" t="s">
        <v>82</v>
      </c>
      <c r="E268" s="6" t="s">
        <v>48</v>
      </c>
      <c r="F268" s="6" t="s">
        <v>88</v>
      </c>
      <c r="G268" s="6" t="s">
        <v>50</v>
      </c>
      <c r="H268" s="6" t="s">
        <v>55</v>
      </c>
      <c r="I268" s="7" t="n">
        <v>27.84</v>
      </c>
      <c r="J268" s="8" t="n">
        <v>934.4</v>
      </c>
      <c r="K268" s="7" t="n">
        <v>25.72</v>
      </c>
      <c r="L268" s="7" t="n">
        <v>24032.84</v>
      </c>
      <c r="M268" s="6" t="s">
        <v>614</v>
      </c>
    </row>
    <row r="269" customFormat="false" ht="15" hidden="false" customHeight="false" outlineLevel="0" collapsed="false">
      <c r="A269" s="6" t="s">
        <v>615</v>
      </c>
      <c r="B269" s="6" t="s">
        <v>592</v>
      </c>
      <c r="C269" s="6" t="s">
        <v>593</v>
      </c>
      <c r="D269" s="6" t="s">
        <v>82</v>
      </c>
      <c r="E269" s="6" t="s">
        <v>48</v>
      </c>
      <c r="F269" s="6" t="s">
        <v>49</v>
      </c>
      <c r="G269" s="6" t="s">
        <v>66</v>
      </c>
      <c r="H269" s="6" t="s">
        <v>77</v>
      </c>
      <c r="I269" s="7" t="n">
        <v>28.18</v>
      </c>
      <c r="J269" s="8" t="n">
        <v>1010.3</v>
      </c>
      <c r="K269" s="7" t="n">
        <v>25.93</v>
      </c>
      <c r="L269" s="7" t="n">
        <v>26198.25</v>
      </c>
      <c r="M269" s="6" t="s">
        <v>462</v>
      </c>
    </row>
    <row r="270" customFormat="false" ht="15" hidden="false" customHeight="false" outlineLevel="0" collapsed="false">
      <c r="A270" s="6" t="s">
        <v>616</v>
      </c>
      <c r="B270" s="6" t="s">
        <v>592</v>
      </c>
      <c r="C270" s="6" t="s">
        <v>593</v>
      </c>
      <c r="D270" s="6" t="s">
        <v>82</v>
      </c>
      <c r="E270" s="6" t="s">
        <v>48</v>
      </c>
      <c r="F270" s="6" t="s">
        <v>49</v>
      </c>
      <c r="G270" s="6" t="s">
        <v>66</v>
      </c>
      <c r="H270" s="6" t="s">
        <v>55</v>
      </c>
      <c r="I270" s="7" t="n">
        <v>28.5</v>
      </c>
      <c r="J270" s="8" t="n">
        <v>1541</v>
      </c>
      <c r="K270" s="7" t="n">
        <v>27.53</v>
      </c>
      <c r="L270" s="7" t="n">
        <v>42424.94</v>
      </c>
      <c r="M270" s="6" t="s">
        <v>262</v>
      </c>
    </row>
    <row r="271" customFormat="false" ht="15" hidden="false" customHeight="false" outlineLevel="0" collapsed="false">
      <c r="A271" s="6" t="s">
        <v>617</v>
      </c>
      <c r="B271" s="6" t="s">
        <v>592</v>
      </c>
      <c r="C271" s="6" t="s">
        <v>593</v>
      </c>
      <c r="D271" s="6" t="s">
        <v>82</v>
      </c>
      <c r="E271" s="6" t="s">
        <v>48</v>
      </c>
      <c r="F271" s="6" t="s">
        <v>61</v>
      </c>
      <c r="G271" s="6" t="s">
        <v>66</v>
      </c>
      <c r="H271" s="6" t="s">
        <v>51</v>
      </c>
      <c r="I271" s="7" t="n">
        <v>38.68</v>
      </c>
      <c r="J271" s="8" t="n">
        <v>852.9</v>
      </c>
      <c r="K271" s="7" t="n">
        <v>33.81</v>
      </c>
      <c r="L271" s="7" t="n">
        <v>28837.13</v>
      </c>
      <c r="M271" s="6" t="s">
        <v>618</v>
      </c>
    </row>
    <row r="272" customFormat="false" ht="15" hidden="false" customHeight="false" outlineLevel="0" collapsed="false">
      <c r="A272" s="6" t="s">
        <v>619</v>
      </c>
      <c r="B272" s="6" t="s">
        <v>592</v>
      </c>
      <c r="C272" s="6" t="s">
        <v>593</v>
      </c>
      <c r="D272" s="6" t="s">
        <v>82</v>
      </c>
      <c r="E272" s="6" t="s">
        <v>48</v>
      </c>
      <c r="F272" s="6" t="s">
        <v>54</v>
      </c>
      <c r="G272" s="6" t="s">
        <v>147</v>
      </c>
      <c r="H272" s="6" t="s">
        <v>55</v>
      </c>
      <c r="I272" s="7" t="n">
        <v>9.33</v>
      </c>
      <c r="J272" s="8" t="n">
        <v>752.8</v>
      </c>
      <c r="K272" s="7" t="n">
        <v>9.3</v>
      </c>
      <c r="L272" s="7" t="n">
        <v>7000.75</v>
      </c>
      <c r="M272" s="6" t="s">
        <v>620</v>
      </c>
    </row>
    <row r="273" customFormat="false" ht="15" hidden="false" customHeight="false" outlineLevel="0" collapsed="false">
      <c r="A273" s="6" t="s">
        <v>621</v>
      </c>
      <c r="B273" s="6" t="s">
        <v>592</v>
      </c>
      <c r="C273" s="6" t="s">
        <v>593</v>
      </c>
      <c r="D273" s="6" t="s">
        <v>82</v>
      </c>
      <c r="E273" s="6" t="s">
        <v>48</v>
      </c>
      <c r="F273" s="6" t="s">
        <v>88</v>
      </c>
      <c r="G273" s="6" t="s">
        <v>50</v>
      </c>
      <c r="H273" s="6" t="s">
        <v>55</v>
      </c>
      <c r="I273" s="7" t="n">
        <v>28.53</v>
      </c>
      <c r="J273" s="8" t="n">
        <v>815.8</v>
      </c>
      <c r="K273" s="7" t="n">
        <v>26.36</v>
      </c>
      <c r="L273" s="7" t="n">
        <v>21504.9</v>
      </c>
      <c r="M273" s="6" t="s">
        <v>622</v>
      </c>
    </row>
    <row r="274" customFormat="false" ht="15" hidden="false" customHeight="false" outlineLevel="0" collapsed="false">
      <c r="A274" s="6" t="s">
        <v>623</v>
      </c>
      <c r="B274" s="6" t="s">
        <v>624</v>
      </c>
      <c r="C274" s="6" t="s">
        <v>625</v>
      </c>
      <c r="D274" s="6" t="s">
        <v>60</v>
      </c>
      <c r="E274" s="6" t="s">
        <v>48</v>
      </c>
      <c r="F274" s="6" t="s">
        <v>61</v>
      </c>
      <c r="G274" s="6" t="s">
        <v>50</v>
      </c>
      <c r="H274" s="6" t="s">
        <v>55</v>
      </c>
      <c r="I274" s="7" t="n">
        <v>39.95</v>
      </c>
      <c r="J274" s="8" t="n">
        <v>931.1</v>
      </c>
      <c r="K274" s="7" t="n">
        <v>36.91</v>
      </c>
      <c r="L274" s="7" t="n">
        <v>34366.15</v>
      </c>
      <c r="M274" s="6" t="s">
        <v>608</v>
      </c>
    </row>
    <row r="275" customFormat="false" ht="15" hidden="false" customHeight="false" outlineLevel="0" collapsed="false">
      <c r="A275" s="6" t="s">
        <v>626</v>
      </c>
      <c r="B275" s="6" t="s">
        <v>624</v>
      </c>
      <c r="C275" s="6" t="s">
        <v>625</v>
      </c>
      <c r="D275" s="6" t="s">
        <v>60</v>
      </c>
      <c r="E275" s="6" t="s">
        <v>48</v>
      </c>
      <c r="F275" s="6" t="s">
        <v>88</v>
      </c>
      <c r="G275" s="6" t="s">
        <v>62</v>
      </c>
      <c r="H275" s="6" t="s">
        <v>51</v>
      </c>
      <c r="I275" s="7" t="n">
        <v>28.42</v>
      </c>
      <c r="J275" s="8" t="n">
        <v>1405.1</v>
      </c>
      <c r="K275" s="7" t="n">
        <v>20.25</v>
      </c>
      <c r="L275" s="7" t="n">
        <v>28452.92</v>
      </c>
      <c r="M275" s="6" t="s">
        <v>545</v>
      </c>
    </row>
    <row r="276" customFormat="false" ht="15" hidden="false" customHeight="false" outlineLevel="0" collapsed="false">
      <c r="A276" s="6" t="s">
        <v>627</v>
      </c>
      <c r="B276" s="6" t="s">
        <v>624</v>
      </c>
      <c r="C276" s="6" t="s">
        <v>625</v>
      </c>
      <c r="D276" s="6" t="s">
        <v>60</v>
      </c>
      <c r="E276" s="6" t="s">
        <v>48</v>
      </c>
      <c r="F276" s="6" t="s">
        <v>49</v>
      </c>
      <c r="G276" s="6" t="s">
        <v>50</v>
      </c>
      <c r="H276" s="6" t="s">
        <v>55</v>
      </c>
      <c r="I276" s="7" t="n">
        <v>28.75</v>
      </c>
      <c r="J276" s="8" t="n">
        <v>663.8</v>
      </c>
      <c r="K276" s="7" t="n">
        <v>26.57</v>
      </c>
      <c r="L276" s="7" t="n">
        <v>17636.64</v>
      </c>
      <c r="M276" s="6" t="s">
        <v>459</v>
      </c>
    </row>
    <row r="277" customFormat="false" ht="15" hidden="false" customHeight="false" outlineLevel="0" collapsed="false">
      <c r="A277" s="6" t="s">
        <v>628</v>
      </c>
      <c r="B277" s="6" t="s">
        <v>629</v>
      </c>
      <c r="C277" s="6" t="s">
        <v>630</v>
      </c>
      <c r="D277" s="6" t="s">
        <v>47</v>
      </c>
      <c r="E277" s="6" t="s">
        <v>48</v>
      </c>
      <c r="F277" s="6" t="s">
        <v>65</v>
      </c>
      <c r="G277" s="6" t="s">
        <v>66</v>
      </c>
      <c r="H277" s="6" t="s">
        <v>55</v>
      </c>
      <c r="I277" s="7" t="n">
        <v>31.06</v>
      </c>
      <c r="J277" s="8" t="n">
        <v>998.3</v>
      </c>
      <c r="K277" s="7" t="n">
        <v>30.01</v>
      </c>
      <c r="L277" s="7" t="n">
        <v>29959.08</v>
      </c>
      <c r="M277" s="6" t="s">
        <v>359</v>
      </c>
    </row>
    <row r="278" customFormat="false" ht="15" hidden="false" customHeight="false" outlineLevel="0" collapsed="false">
      <c r="A278" s="6" t="s">
        <v>631</v>
      </c>
      <c r="B278" s="6" t="s">
        <v>629</v>
      </c>
      <c r="C278" s="6" t="s">
        <v>630</v>
      </c>
      <c r="D278" s="6" t="s">
        <v>47</v>
      </c>
      <c r="E278" s="6" t="s">
        <v>48</v>
      </c>
      <c r="F278" s="6" t="s">
        <v>61</v>
      </c>
      <c r="G278" s="6" t="s">
        <v>50</v>
      </c>
      <c r="H278" s="6" t="s">
        <v>55</v>
      </c>
      <c r="I278" s="7" t="n">
        <v>38.01</v>
      </c>
      <c r="J278" s="8" t="n">
        <v>1203.2</v>
      </c>
      <c r="K278" s="7" t="n">
        <v>35.12</v>
      </c>
      <c r="L278" s="7" t="n">
        <v>42257.67</v>
      </c>
      <c r="M278" s="6" t="s">
        <v>632</v>
      </c>
    </row>
    <row r="279" customFormat="false" ht="15" hidden="false" customHeight="false" outlineLevel="0" collapsed="false">
      <c r="A279" s="6" t="s">
        <v>633</v>
      </c>
      <c r="B279" s="6" t="s">
        <v>629</v>
      </c>
      <c r="C279" s="6" t="s">
        <v>630</v>
      </c>
      <c r="D279" s="6" t="s">
        <v>47</v>
      </c>
      <c r="E279" s="6" t="s">
        <v>48</v>
      </c>
      <c r="F279" s="6" t="s">
        <v>49</v>
      </c>
      <c r="G279" s="6" t="s">
        <v>106</v>
      </c>
      <c r="H279" s="6" t="s">
        <v>77</v>
      </c>
      <c r="I279" s="7" t="n">
        <v>29.21</v>
      </c>
      <c r="J279" s="8" t="n">
        <v>1401.1</v>
      </c>
      <c r="K279" s="7" t="n">
        <v>18.98</v>
      </c>
      <c r="L279" s="7" t="n">
        <v>26593.25</v>
      </c>
      <c r="M279" s="6" t="s">
        <v>634</v>
      </c>
    </row>
    <row r="280" customFormat="false" ht="15" hidden="false" customHeight="false" outlineLevel="0" collapsed="false">
      <c r="A280" s="6" t="s">
        <v>635</v>
      </c>
      <c r="B280" s="6" t="s">
        <v>629</v>
      </c>
      <c r="C280" s="6" t="s">
        <v>630</v>
      </c>
      <c r="D280" s="6" t="s">
        <v>47</v>
      </c>
      <c r="E280" s="6" t="s">
        <v>48</v>
      </c>
      <c r="F280" s="6" t="s">
        <v>54</v>
      </c>
      <c r="G280" s="6" t="s">
        <v>106</v>
      </c>
      <c r="H280" s="6" t="s">
        <v>55</v>
      </c>
      <c r="I280" s="7" t="n">
        <v>9.75</v>
      </c>
      <c r="J280" s="8" t="n">
        <v>665.1</v>
      </c>
      <c r="K280" s="7" t="n">
        <v>6.66</v>
      </c>
      <c r="L280" s="7" t="n">
        <v>4429.41</v>
      </c>
      <c r="M280" s="6" t="s">
        <v>636</v>
      </c>
    </row>
    <row r="281" customFormat="false" ht="15" hidden="false" customHeight="false" outlineLevel="0" collapsed="false">
      <c r="A281" s="6" t="s">
        <v>637</v>
      </c>
      <c r="B281" s="6" t="s">
        <v>629</v>
      </c>
      <c r="C281" s="6" t="s">
        <v>630</v>
      </c>
      <c r="D281" s="6" t="s">
        <v>47</v>
      </c>
      <c r="E281" s="6" t="s">
        <v>48</v>
      </c>
      <c r="F281" s="6" t="s">
        <v>65</v>
      </c>
      <c r="G281" s="6" t="s">
        <v>106</v>
      </c>
      <c r="H281" s="6" t="s">
        <v>51</v>
      </c>
      <c r="I281" s="7" t="n">
        <v>31.71</v>
      </c>
      <c r="J281" s="8" t="n">
        <v>1028.1</v>
      </c>
      <c r="K281" s="7" t="n">
        <v>19.58</v>
      </c>
      <c r="L281" s="7" t="n">
        <v>20129.48</v>
      </c>
      <c r="M281" s="6" t="s">
        <v>638</v>
      </c>
    </row>
    <row r="282" customFormat="false" ht="15" hidden="false" customHeight="false" outlineLevel="0" collapsed="false">
      <c r="A282" s="6" t="s">
        <v>639</v>
      </c>
      <c r="B282" s="6" t="s">
        <v>629</v>
      </c>
      <c r="C282" s="6" t="s">
        <v>630</v>
      </c>
      <c r="D282" s="6" t="s">
        <v>47</v>
      </c>
      <c r="E282" s="6" t="s">
        <v>48</v>
      </c>
      <c r="F282" s="6" t="s">
        <v>88</v>
      </c>
      <c r="G282" s="6" t="s">
        <v>147</v>
      </c>
      <c r="H282" s="6" t="s">
        <v>55</v>
      </c>
      <c r="I282" s="7" t="n">
        <v>27.67</v>
      </c>
      <c r="J282" s="8" t="n">
        <v>914</v>
      </c>
      <c r="K282" s="7" t="n">
        <v>27.61</v>
      </c>
      <c r="L282" s="7" t="n">
        <v>25236.48</v>
      </c>
      <c r="M282" s="6" t="s">
        <v>640</v>
      </c>
    </row>
    <row r="283" customFormat="false" ht="15" hidden="false" customHeight="false" outlineLevel="0" collapsed="false">
      <c r="A283" s="6" t="s">
        <v>641</v>
      </c>
      <c r="B283" s="6" t="s">
        <v>629</v>
      </c>
      <c r="C283" s="6" t="s">
        <v>630</v>
      </c>
      <c r="D283" s="6" t="s">
        <v>47</v>
      </c>
      <c r="E283" s="6" t="s">
        <v>48</v>
      </c>
      <c r="F283" s="6" t="s">
        <v>88</v>
      </c>
      <c r="G283" s="6" t="s">
        <v>62</v>
      </c>
      <c r="H283" s="6" t="s">
        <v>55</v>
      </c>
      <c r="I283" s="7" t="n">
        <v>28.47</v>
      </c>
      <c r="J283" s="8" t="n">
        <v>942</v>
      </c>
      <c r="K283" s="7" t="n">
        <v>22.42</v>
      </c>
      <c r="L283" s="7" t="n">
        <v>21119.21</v>
      </c>
      <c r="M283" s="6" t="s">
        <v>642</v>
      </c>
    </row>
    <row r="284" customFormat="false" ht="15" hidden="false" customHeight="false" outlineLevel="0" collapsed="false">
      <c r="A284" s="6" t="s">
        <v>643</v>
      </c>
      <c r="B284" s="6" t="s">
        <v>629</v>
      </c>
      <c r="C284" s="6" t="s">
        <v>630</v>
      </c>
      <c r="D284" s="6" t="s">
        <v>47</v>
      </c>
      <c r="E284" s="6" t="s">
        <v>48</v>
      </c>
      <c r="F284" s="6" t="s">
        <v>88</v>
      </c>
      <c r="G284" s="6" t="s">
        <v>62</v>
      </c>
      <c r="H284" s="6" t="s">
        <v>51</v>
      </c>
      <c r="I284" s="7" t="n">
        <v>28.72</v>
      </c>
      <c r="J284" s="8" t="n">
        <v>376.3</v>
      </c>
      <c r="K284" s="7" t="n">
        <v>20.46</v>
      </c>
      <c r="L284" s="7" t="n">
        <v>7699.8</v>
      </c>
      <c r="M284" s="6" t="s">
        <v>644</v>
      </c>
    </row>
    <row r="285" customFormat="false" ht="15" hidden="false" customHeight="false" outlineLevel="0" collapsed="false">
      <c r="A285" s="6" t="s">
        <v>645</v>
      </c>
      <c r="B285" s="6" t="s">
        <v>629</v>
      </c>
      <c r="C285" s="6" t="s">
        <v>630</v>
      </c>
      <c r="D285" s="6" t="s">
        <v>47</v>
      </c>
      <c r="E285" s="6" t="s">
        <v>48</v>
      </c>
      <c r="F285" s="6" t="s">
        <v>65</v>
      </c>
      <c r="G285" s="6" t="s">
        <v>106</v>
      </c>
      <c r="H285" s="6" t="s">
        <v>51</v>
      </c>
      <c r="I285" s="7" t="n">
        <v>31.69</v>
      </c>
      <c r="J285" s="8" t="n">
        <v>796.9</v>
      </c>
      <c r="K285" s="7" t="n">
        <v>19.57</v>
      </c>
      <c r="L285" s="7" t="n">
        <v>15594.5</v>
      </c>
      <c r="M285" s="6" t="s">
        <v>646</v>
      </c>
    </row>
    <row r="286" customFormat="false" ht="15" hidden="false" customHeight="false" outlineLevel="0" collapsed="false">
      <c r="A286" s="6" t="s">
        <v>647</v>
      </c>
      <c r="B286" s="6" t="s">
        <v>629</v>
      </c>
      <c r="C286" s="6" t="s">
        <v>630</v>
      </c>
      <c r="D286" s="6" t="s">
        <v>47</v>
      </c>
      <c r="E286" s="6" t="s">
        <v>48</v>
      </c>
      <c r="F286" s="6" t="s">
        <v>88</v>
      </c>
      <c r="G286" s="6" t="s">
        <v>66</v>
      </c>
      <c r="H286" s="6" t="s">
        <v>77</v>
      </c>
      <c r="I286" s="7" t="n">
        <v>28.97</v>
      </c>
      <c r="J286" s="8" t="n">
        <v>1853.9</v>
      </c>
      <c r="K286" s="7" t="n">
        <v>26.65</v>
      </c>
      <c r="L286" s="7" t="n">
        <v>49406.12</v>
      </c>
      <c r="M286" s="6" t="s">
        <v>642</v>
      </c>
    </row>
    <row r="287" customFormat="false" ht="15" hidden="false" customHeight="false" outlineLevel="0" collapsed="false">
      <c r="A287" s="6" t="s">
        <v>648</v>
      </c>
      <c r="B287" s="6" t="s">
        <v>629</v>
      </c>
      <c r="C287" s="6" t="s">
        <v>630</v>
      </c>
      <c r="D287" s="6" t="s">
        <v>47</v>
      </c>
      <c r="E287" s="6" t="s">
        <v>48</v>
      </c>
      <c r="F287" s="6" t="s">
        <v>54</v>
      </c>
      <c r="G287" s="6" t="s">
        <v>147</v>
      </c>
      <c r="H287" s="6" t="s">
        <v>55</v>
      </c>
      <c r="I287" s="7" t="n">
        <v>10.87</v>
      </c>
      <c r="J287" s="8" t="n">
        <v>1287</v>
      </c>
      <c r="K287" s="7" t="n">
        <v>10.84</v>
      </c>
      <c r="L287" s="7" t="n">
        <v>13950.69</v>
      </c>
      <c r="M287" s="6" t="s">
        <v>179</v>
      </c>
    </row>
    <row r="288" customFormat="false" ht="15" hidden="false" customHeight="false" outlineLevel="0" collapsed="false">
      <c r="A288" s="6" t="s">
        <v>649</v>
      </c>
      <c r="B288" s="6" t="s">
        <v>629</v>
      </c>
      <c r="C288" s="6" t="s">
        <v>630</v>
      </c>
      <c r="D288" s="6" t="s">
        <v>47</v>
      </c>
      <c r="E288" s="6" t="s">
        <v>48</v>
      </c>
      <c r="F288" s="6" t="s">
        <v>88</v>
      </c>
      <c r="G288" s="6" t="s">
        <v>50</v>
      </c>
      <c r="H288" s="6" t="s">
        <v>51</v>
      </c>
      <c r="I288" s="7" t="n">
        <v>29.01</v>
      </c>
      <c r="J288" s="8" t="n">
        <v>1367.2</v>
      </c>
      <c r="K288" s="7" t="n">
        <v>24.25</v>
      </c>
      <c r="L288" s="7" t="n">
        <v>33153.69</v>
      </c>
      <c r="M288" s="6" t="s">
        <v>437</v>
      </c>
    </row>
    <row r="289" customFormat="false" ht="15" hidden="false" customHeight="false" outlineLevel="0" collapsed="false">
      <c r="A289" s="6" t="s">
        <v>650</v>
      </c>
      <c r="B289" s="6" t="s">
        <v>629</v>
      </c>
      <c r="C289" s="6" t="s">
        <v>630</v>
      </c>
      <c r="D289" s="6" t="s">
        <v>47</v>
      </c>
      <c r="E289" s="6" t="s">
        <v>48</v>
      </c>
      <c r="F289" s="6" t="s">
        <v>54</v>
      </c>
      <c r="G289" s="6" t="s">
        <v>50</v>
      </c>
      <c r="H289" s="6" t="s">
        <v>51</v>
      </c>
      <c r="I289" s="7" t="n">
        <v>9.83</v>
      </c>
      <c r="J289" s="8" t="n">
        <v>1415.8</v>
      </c>
      <c r="K289" s="7" t="n">
        <v>8.22</v>
      </c>
      <c r="L289" s="7" t="n">
        <v>11638.08</v>
      </c>
      <c r="M289" s="6" t="s">
        <v>520</v>
      </c>
    </row>
    <row r="290" customFormat="false" ht="15" hidden="false" customHeight="false" outlineLevel="0" collapsed="false">
      <c r="A290" s="6" t="s">
        <v>651</v>
      </c>
      <c r="B290" s="6" t="s">
        <v>629</v>
      </c>
      <c r="C290" s="6" t="s">
        <v>630</v>
      </c>
      <c r="D290" s="6" t="s">
        <v>47</v>
      </c>
      <c r="E290" s="6" t="s">
        <v>48</v>
      </c>
      <c r="F290" s="6" t="s">
        <v>61</v>
      </c>
      <c r="G290" s="6" t="s">
        <v>106</v>
      </c>
      <c r="H290" s="6" t="s">
        <v>77</v>
      </c>
      <c r="I290" s="7" t="n">
        <v>37.89</v>
      </c>
      <c r="J290" s="8" t="n">
        <v>1003</v>
      </c>
      <c r="K290" s="7" t="n">
        <v>24.63</v>
      </c>
      <c r="L290" s="7" t="n">
        <v>24703.87</v>
      </c>
      <c r="M290" s="6" t="s">
        <v>111</v>
      </c>
    </row>
    <row r="291" customFormat="false" ht="15" hidden="false" customHeight="false" outlineLevel="0" collapsed="false">
      <c r="A291" s="6" t="s">
        <v>652</v>
      </c>
      <c r="B291" s="6" t="s">
        <v>629</v>
      </c>
      <c r="C291" s="6" t="s">
        <v>630</v>
      </c>
      <c r="D291" s="6" t="s">
        <v>47</v>
      </c>
      <c r="E291" s="6" t="s">
        <v>48</v>
      </c>
      <c r="F291" s="6" t="s">
        <v>65</v>
      </c>
      <c r="G291" s="6" t="s">
        <v>50</v>
      </c>
      <c r="H291" s="6" t="s">
        <v>51</v>
      </c>
      <c r="I291" s="7" t="n">
        <v>32.93</v>
      </c>
      <c r="J291" s="8" t="n">
        <v>917.1</v>
      </c>
      <c r="K291" s="7" t="n">
        <v>27.53</v>
      </c>
      <c r="L291" s="7" t="n">
        <v>25247.95</v>
      </c>
      <c r="M291" s="6" t="s">
        <v>653</v>
      </c>
    </row>
    <row r="292" customFormat="false" ht="15" hidden="false" customHeight="false" outlineLevel="0" collapsed="false">
      <c r="A292" s="6" t="s">
        <v>654</v>
      </c>
      <c r="B292" s="6" t="s">
        <v>629</v>
      </c>
      <c r="C292" s="6" t="s">
        <v>630</v>
      </c>
      <c r="D292" s="6" t="s">
        <v>47</v>
      </c>
      <c r="E292" s="6" t="s">
        <v>48</v>
      </c>
      <c r="F292" s="6" t="s">
        <v>88</v>
      </c>
      <c r="G292" s="6" t="s">
        <v>66</v>
      </c>
      <c r="H292" s="6" t="s">
        <v>55</v>
      </c>
      <c r="I292" s="7" t="n">
        <v>28.61</v>
      </c>
      <c r="J292" s="8" t="n">
        <v>647.4</v>
      </c>
      <c r="K292" s="7" t="n">
        <v>27.63</v>
      </c>
      <c r="L292" s="7" t="n">
        <v>17887.08</v>
      </c>
      <c r="M292" s="6" t="s">
        <v>655</v>
      </c>
    </row>
    <row r="293" customFormat="false" ht="15" hidden="false" customHeight="false" outlineLevel="0" collapsed="false">
      <c r="A293" s="6" t="s">
        <v>656</v>
      </c>
      <c r="B293" s="6" t="s">
        <v>629</v>
      </c>
      <c r="C293" s="6" t="s">
        <v>630</v>
      </c>
      <c r="D293" s="6" t="s">
        <v>47</v>
      </c>
      <c r="E293" s="6" t="s">
        <v>48</v>
      </c>
      <c r="F293" s="6" t="s">
        <v>54</v>
      </c>
      <c r="G293" s="6" t="s">
        <v>50</v>
      </c>
      <c r="H293" s="6" t="s">
        <v>77</v>
      </c>
      <c r="I293" s="7" t="n">
        <v>10.87</v>
      </c>
      <c r="J293" s="8" t="n">
        <v>516.8</v>
      </c>
      <c r="K293" s="7" t="n">
        <v>9.56</v>
      </c>
      <c r="L293" s="7" t="n">
        <v>4940.22</v>
      </c>
      <c r="M293" s="6" t="s">
        <v>657</v>
      </c>
    </row>
    <row r="294" customFormat="false" ht="15" hidden="false" customHeight="false" outlineLevel="0" collapsed="false">
      <c r="A294" s="6" t="s">
        <v>658</v>
      </c>
      <c r="B294" s="6" t="s">
        <v>659</v>
      </c>
      <c r="C294" s="6" t="s">
        <v>660</v>
      </c>
      <c r="D294" s="6" t="s">
        <v>189</v>
      </c>
      <c r="E294" s="6" t="s">
        <v>48</v>
      </c>
      <c r="F294" s="6" t="s">
        <v>65</v>
      </c>
      <c r="G294" s="6" t="s">
        <v>66</v>
      </c>
      <c r="H294" s="6" t="s">
        <v>55</v>
      </c>
      <c r="I294" s="7" t="n">
        <v>32.74</v>
      </c>
      <c r="J294" s="8" t="n">
        <v>300</v>
      </c>
      <c r="K294" s="7" t="n">
        <v>31.63</v>
      </c>
      <c r="L294" s="7" t="n">
        <v>9489</v>
      </c>
      <c r="M294" s="6" t="s">
        <v>449</v>
      </c>
    </row>
    <row r="295" customFormat="false" ht="15" hidden="false" customHeight="false" outlineLevel="0" collapsed="false">
      <c r="A295" s="6" t="s">
        <v>661</v>
      </c>
      <c r="B295" s="6" t="s">
        <v>659</v>
      </c>
      <c r="C295" s="6" t="s">
        <v>660</v>
      </c>
      <c r="D295" s="6" t="s">
        <v>189</v>
      </c>
      <c r="E295" s="6" t="s">
        <v>48</v>
      </c>
      <c r="F295" s="6" t="s">
        <v>61</v>
      </c>
      <c r="G295" s="6" t="s">
        <v>66</v>
      </c>
      <c r="H295" s="6" t="s">
        <v>77</v>
      </c>
      <c r="I295" s="7" t="n">
        <v>38.21</v>
      </c>
      <c r="J295" s="8" t="n">
        <v>500</v>
      </c>
      <c r="K295" s="7" t="n">
        <v>35.15</v>
      </c>
      <c r="L295" s="7" t="n">
        <v>17575</v>
      </c>
      <c r="M295" s="6" t="s">
        <v>590</v>
      </c>
    </row>
    <row r="296" customFormat="false" ht="15" hidden="false" customHeight="false" outlineLevel="0" collapsed="false">
      <c r="A296" s="6" t="s">
        <v>662</v>
      </c>
      <c r="B296" s="6" t="s">
        <v>663</v>
      </c>
      <c r="C296" s="6" t="s">
        <v>664</v>
      </c>
      <c r="D296" s="6" t="s">
        <v>144</v>
      </c>
      <c r="E296" s="6" t="s">
        <v>48</v>
      </c>
      <c r="F296" s="6" t="s">
        <v>49</v>
      </c>
      <c r="G296" s="6" t="s">
        <v>66</v>
      </c>
      <c r="H296" s="6" t="s">
        <v>55</v>
      </c>
      <c r="I296" s="7" t="n">
        <v>27.82</v>
      </c>
      <c r="J296" s="8" t="n">
        <v>340.1</v>
      </c>
      <c r="K296" s="7" t="n">
        <v>26.87</v>
      </c>
      <c r="L296" s="7" t="n">
        <v>9139.27</v>
      </c>
      <c r="M296" s="6" t="s">
        <v>665</v>
      </c>
    </row>
    <row r="297" customFormat="false" ht="15" hidden="false" customHeight="false" outlineLevel="0" collapsed="false">
      <c r="A297" s="6" t="s">
        <v>666</v>
      </c>
      <c r="B297" s="6" t="s">
        <v>663</v>
      </c>
      <c r="C297" s="6" t="s">
        <v>664</v>
      </c>
      <c r="D297" s="6" t="s">
        <v>144</v>
      </c>
      <c r="E297" s="6" t="s">
        <v>48</v>
      </c>
      <c r="F297" s="6" t="s">
        <v>88</v>
      </c>
      <c r="G297" s="6" t="s">
        <v>66</v>
      </c>
      <c r="H297" s="6" t="s">
        <v>55</v>
      </c>
      <c r="I297" s="7" t="n">
        <v>27.77</v>
      </c>
      <c r="J297" s="8" t="n">
        <v>813.7</v>
      </c>
      <c r="K297" s="7" t="n">
        <v>26.83</v>
      </c>
      <c r="L297" s="7" t="n">
        <v>21831.32</v>
      </c>
      <c r="M297" s="6" t="s">
        <v>564</v>
      </c>
    </row>
    <row r="298" customFormat="false" ht="15" hidden="false" customHeight="false" outlineLevel="0" collapsed="false">
      <c r="A298" s="6" t="s">
        <v>667</v>
      </c>
      <c r="B298" s="6" t="s">
        <v>663</v>
      </c>
      <c r="C298" s="6" t="s">
        <v>664</v>
      </c>
      <c r="D298" s="6" t="s">
        <v>144</v>
      </c>
      <c r="E298" s="6" t="s">
        <v>48</v>
      </c>
      <c r="F298" s="6" t="s">
        <v>61</v>
      </c>
      <c r="G298" s="6" t="s">
        <v>50</v>
      </c>
      <c r="H298" s="6" t="s">
        <v>55</v>
      </c>
      <c r="I298" s="7" t="n">
        <v>37.94</v>
      </c>
      <c r="J298" s="8" t="n">
        <v>859.8</v>
      </c>
      <c r="K298" s="7" t="n">
        <v>35.06</v>
      </c>
      <c r="L298" s="7" t="n">
        <v>30144.24</v>
      </c>
      <c r="M298" s="6" t="s">
        <v>353</v>
      </c>
    </row>
    <row r="299" customFormat="false" ht="15" hidden="false" customHeight="false" outlineLevel="0" collapsed="false">
      <c r="A299" s="6" t="s">
        <v>668</v>
      </c>
      <c r="B299" s="6" t="s">
        <v>663</v>
      </c>
      <c r="C299" s="6" t="s">
        <v>664</v>
      </c>
      <c r="D299" s="6" t="s">
        <v>144</v>
      </c>
      <c r="E299" s="6" t="s">
        <v>48</v>
      </c>
      <c r="F299" s="6" t="s">
        <v>65</v>
      </c>
      <c r="G299" s="6" t="s">
        <v>62</v>
      </c>
      <c r="H299" s="6" t="s">
        <v>55</v>
      </c>
      <c r="I299" s="7" t="n">
        <v>31.17</v>
      </c>
      <c r="J299" s="8" t="n">
        <v>424.1</v>
      </c>
      <c r="K299" s="7" t="n">
        <v>24.55</v>
      </c>
      <c r="L299" s="7" t="n">
        <v>10410.76</v>
      </c>
      <c r="M299" s="6" t="s">
        <v>99</v>
      </c>
    </row>
    <row r="300" customFormat="false" ht="15" hidden="false" customHeight="false" outlineLevel="0" collapsed="false">
      <c r="A300" s="6" t="s">
        <v>669</v>
      </c>
      <c r="B300" s="6" t="s">
        <v>663</v>
      </c>
      <c r="C300" s="6" t="s">
        <v>664</v>
      </c>
      <c r="D300" s="6" t="s">
        <v>144</v>
      </c>
      <c r="E300" s="6" t="s">
        <v>48</v>
      </c>
      <c r="F300" s="6" t="s">
        <v>61</v>
      </c>
      <c r="G300" s="6" t="s">
        <v>147</v>
      </c>
      <c r="H300" s="6" t="s">
        <v>51</v>
      </c>
      <c r="I300" s="7" t="n">
        <v>38.15</v>
      </c>
      <c r="J300" s="8" t="n">
        <v>959.1</v>
      </c>
      <c r="K300" s="7" t="n">
        <v>34.43</v>
      </c>
      <c r="L300" s="7" t="n">
        <v>33022.02</v>
      </c>
      <c r="M300" s="6" t="s">
        <v>175</v>
      </c>
    </row>
    <row r="301" customFormat="false" ht="15" hidden="false" customHeight="false" outlineLevel="0" collapsed="false">
      <c r="A301" s="6" t="s">
        <v>670</v>
      </c>
      <c r="B301" s="6" t="s">
        <v>663</v>
      </c>
      <c r="C301" s="6" t="s">
        <v>664</v>
      </c>
      <c r="D301" s="6" t="s">
        <v>144</v>
      </c>
      <c r="E301" s="6" t="s">
        <v>48</v>
      </c>
      <c r="F301" s="6" t="s">
        <v>65</v>
      </c>
      <c r="G301" s="6" t="s">
        <v>62</v>
      </c>
      <c r="H301" s="6" t="s">
        <v>77</v>
      </c>
      <c r="I301" s="7" t="n">
        <v>31.6</v>
      </c>
      <c r="J301" s="8" t="n">
        <v>1036.2</v>
      </c>
      <c r="K301" s="7" t="n">
        <v>23.7</v>
      </c>
      <c r="L301" s="7" t="n">
        <v>24558.2</v>
      </c>
      <c r="M301" s="6" t="s">
        <v>671</v>
      </c>
    </row>
    <row r="302" customFormat="false" ht="15" hidden="false" customHeight="false" outlineLevel="0" collapsed="false">
      <c r="A302" s="6" t="s">
        <v>672</v>
      </c>
      <c r="B302" s="6" t="s">
        <v>663</v>
      </c>
      <c r="C302" s="6" t="s">
        <v>664</v>
      </c>
      <c r="D302" s="6" t="s">
        <v>144</v>
      </c>
      <c r="E302" s="6" t="s">
        <v>48</v>
      </c>
      <c r="F302" s="6" t="s">
        <v>61</v>
      </c>
      <c r="G302" s="6" t="s">
        <v>147</v>
      </c>
      <c r="H302" s="6" t="s">
        <v>55</v>
      </c>
      <c r="I302" s="7" t="n">
        <v>38.66</v>
      </c>
      <c r="J302" s="8" t="n">
        <v>881.4</v>
      </c>
      <c r="K302" s="7" t="n">
        <v>38.57</v>
      </c>
      <c r="L302" s="7" t="n">
        <v>33995.97</v>
      </c>
      <c r="M302" s="6" t="s">
        <v>673</v>
      </c>
    </row>
    <row r="303" customFormat="false" ht="15" hidden="false" customHeight="false" outlineLevel="0" collapsed="false">
      <c r="A303" s="6" t="s">
        <v>674</v>
      </c>
      <c r="B303" s="6" t="s">
        <v>663</v>
      </c>
      <c r="C303" s="6" t="s">
        <v>664</v>
      </c>
      <c r="D303" s="6" t="s">
        <v>144</v>
      </c>
      <c r="E303" s="6" t="s">
        <v>48</v>
      </c>
      <c r="F303" s="6" t="s">
        <v>65</v>
      </c>
      <c r="G303" s="6" t="s">
        <v>62</v>
      </c>
      <c r="H303" s="6" t="s">
        <v>77</v>
      </c>
      <c r="I303" s="7" t="n">
        <v>32.78</v>
      </c>
      <c r="J303" s="8" t="n">
        <v>1154.1</v>
      </c>
      <c r="K303" s="7" t="n">
        <v>24.58</v>
      </c>
      <c r="L303" s="7" t="n">
        <v>28367.23</v>
      </c>
      <c r="M303" s="6" t="s">
        <v>439</v>
      </c>
    </row>
    <row r="304" customFormat="false" ht="15" hidden="false" customHeight="false" outlineLevel="0" collapsed="false">
      <c r="A304" s="6" t="s">
        <v>675</v>
      </c>
      <c r="B304" s="6" t="s">
        <v>676</v>
      </c>
      <c r="C304" s="6" t="s">
        <v>677</v>
      </c>
      <c r="D304" s="6" t="s">
        <v>87</v>
      </c>
      <c r="E304" s="6" t="s">
        <v>48</v>
      </c>
      <c r="F304" s="6" t="s">
        <v>88</v>
      </c>
      <c r="G304" s="6" t="s">
        <v>50</v>
      </c>
      <c r="H304" s="6" t="s">
        <v>51</v>
      </c>
      <c r="I304" s="7" t="n">
        <v>29.87</v>
      </c>
      <c r="J304" s="8" t="n">
        <v>592.4</v>
      </c>
      <c r="K304" s="7" t="n">
        <v>24.97</v>
      </c>
      <c r="L304" s="7" t="n">
        <v>14792.73</v>
      </c>
      <c r="M304" s="6" t="s">
        <v>678</v>
      </c>
    </row>
    <row r="305" customFormat="false" ht="15" hidden="false" customHeight="false" outlineLevel="0" collapsed="false">
      <c r="A305" s="6" t="s">
        <v>679</v>
      </c>
      <c r="B305" s="6" t="s">
        <v>676</v>
      </c>
      <c r="C305" s="6" t="s">
        <v>677</v>
      </c>
      <c r="D305" s="6" t="s">
        <v>87</v>
      </c>
      <c r="E305" s="6" t="s">
        <v>48</v>
      </c>
      <c r="F305" s="6" t="s">
        <v>54</v>
      </c>
      <c r="G305" s="6" t="s">
        <v>50</v>
      </c>
      <c r="H305" s="6" t="s">
        <v>55</v>
      </c>
      <c r="I305" s="7" t="n">
        <v>10.83</v>
      </c>
      <c r="J305" s="8" t="n">
        <v>134.1</v>
      </c>
      <c r="K305" s="7" t="n">
        <v>10</v>
      </c>
      <c r="L305" s="7" t="n">
        <v>1341.27</v>
      </c>
      <c r="M305" s="6" t="s">
        <v>158</v>
      </c>
    </row>
    <row r="306" customFormat="false" ht="15" hidden="false" customHeight="false" outlineLevel="0" collapsed="false">
      <c r="A306" s="6" t="s">
        <v>680</v>
      </c>
      <c r="B306" s="6" t="s">
        <v>676</v>
      </c>
      <c r="C306" s="6" t="s">
        <v>677</v>
      </c>
      <c r="D306" s="6" t="s">
        <v>87</v>
      </c>
      <c r="E306" s="6" t="s">
        <v>48</v>
      </c>
      <c r="F306" s="6" t="s">
        <v>54</v>
      </c>
      <c r="G306" s="6" t="s">
        <v>62</v>
      </c>
      <c r="H306" s="6" t="s">
        <v>55</v>
      </c>
      <c r="I306" s="7" t="n">
        <v>10.19</v>
      </c>
      <c r="J306" s="8" t="n">
        <v>1231.8</v>
      </c>
      <c r="K306" s="7" t="n">
        <v>8.03</v>
      </c>
      <c r="L306" s="7" t="n">
        <v>9891.31</v>
      </c>
      <c r="M306" s="6" t="s">
        <v>335</v>
      </c>
    </row>
    <row r="307" customFormat="false" ht="15" hidden="false" customHeight="false" outlineLevel="0" collapsed="false">
      <c r="A307" s="6" t="s">
        <v>681</v>
      </c>
      <c r="B307" s="6" t="s">
        <v>676</v>
      </c>
      <c r="C307" s="6" t="s">
        <v>677</v>
      </c>
      <c r="D307" s="6" t="s">
        <v>87</v>
      </c>
      <c r="E307" s="6" t="s">
        <v>48</v>
      </c>
      <c r="F307" s="6" t="s">
        <v>49</v>
      </c>
      <c r="G307" s="6" t="s">
        <v>66</v>
      </c>
      <c r="H307" s="6" t="s">
        <v>55</v>
      </c>
      <c r="I307" s="7" t="n">
        <v>27.19</v>
      </c>
      <c r="J307" s="8" t="n">
        <v>549.4</v>
      </c>
      <c r="K307" s="7" t="n">
        <v>26.26</v>
      </c>
      <c r="L307" s="7" t="n">
        <v>14426.97</v>
      </c>
      <c r="M307" s="6" t="s">
        <v>682</v>
      </c>
    </row>
    <row r="308" customFormat="false" ht="15" hidden="false" customHeight="false" outlineLevel="0" collapsed="false">
      <c r="A308" s="6" t="s">
        <v>683</v>
      </c>
      <c r="B308" s="6" t="s">
        <v>676</v>
      </c>
      <c r="C308" s="6" t="s">
        <v>677</v>
      </c>
      <c r="D308" s="6" t="s">
        <v>87</v>
      </c>
      <c r="E308" s="6" t="s">
        <v>48</v>
      </c>
      <c r="F308" s="6" t="s">
        <v>49</v>
      </c>
      <c r="G308" s="6" t="s">
        <v>147</v>
      </c>
      <c r="H308" s="6" t="s">
        <v>55</v>
      </c>
      <c r="I308" s="7" t="n">
        <v>27.49</v>
      </c>
      <c r="J308" s="8" t="n">
        <v>1135.9</v>
      </c>
      <c r="K308" s="7" t="n">
        <v>27.42</v>
      </c>
      <c r="L308" s="7" t="n">
        <v>31146.17</v>
      </c>
      <c r="M308" s="6" t="s">
        <v>684</v>
      </c>
    </row>
    <row r="309" customFormat="false" ht="15" hidden="false" customHeight="false" outlineLevel="0" collapsed="false">
      <c r="A309" s="6" t="s">
        <v>685</v>
      </c>
      <c r="B309" s="6" t="s">
        <v>676</v>
      </c>
      <c r="C309" s="6" t="s">
        <v>677</v>
      </c>
      <c r="D309" s="6" t="s">
        <v>87</v>
      </c>
      <c r="E309" s="6" t="s">
        <v>48</v>
      </c>
      <c r="F309" s="6" t="s">
        <v>65</v>
      </c>
      <c r="G309" s="6" t="s">
        <v>50</v>
      </c>
      <c r="H309" s="6" t="s">
        <v>51</v>
      </c>
      <c r="I309" s="7" t="n">
        <v>32.02</v>
      </c>
      <c r="J309" s="8" t="n">
        <v>1133.8</v>
      </c>
      <c r="K309" s="7" t="n">
        <v>26.77</v>
      </c>
      <c r="L309" s="7" t="n">
        <v>30351.79</v>
      </c>
      <c r="M309" s="6" t="s">
        <v>686</v>
      </c>
    </row>
    <row r="310" customFormat="false" ht="15" hidden="false" customHeight="false" outlineLevel="0" collapsed="false">
      <c r="A310" s="6" t="s">
        <v>687</v>
      </c>
      <c r="B310" s="6" t="s">
        <v>676</v>
      </c>
      <c r="C310" s="6" t="s">
        <v>677</v>
      </c>
      <c r="D310" s="6" t="s">
        <v>87</v>
      </c>
      <c r="E310" s="6" t="s">
        <v>48</v>
      </c>
      <c r="F310" s="6" t="s">
        <v>65</v>
      </c>
      <c r="G310" s="6" t="s">
        <v>66</v>
      </c>
      <c r="H310" s="6" t="s">
        <v>55</v>
      </c>
      <c r="I310" s="7" t="n">
        <v>32.13</v>
      </c>
      <c r="J310" s="8" t="n">
        <v>1118.2</v>
      </c>
      <c r="K310" s="7" t="n">
        <v>31.04</v>
      </c>
      <c r="L310" s="7" t="n">
        <v>34709.41</v>
      </c>
      <c r="M310" s="6" t="s">
        <v>688</v>
      </c>
    </row>
    <row r="311" customFormat="false" ht="15" hidden="false" customHeight="false" outlineLevel="0" collapsed="false">
      <c r="A311" s="6" t="s">
        <v>689</v>
      </c>
      <c r="B311" s="6" t="s">
        <v>676</v>
      </c>
      <c r="C311" s="6" t="s">
        <v>677</v>
      </c>
      <c r="D311" s="6" t="s">
        <v>87</v>
      </c>
      <c r="E311" s="6" t="s">
        <v>48</v>
      </c>
      <c r="F311" s="6" t="s">
        <v>65</v>
      </c>
      <c r="G311" s="6" t="s">
        <v>66</v>
      </c>
      <c r="H311" s="6" t="s">
        <v>51</v>
      </c>
      <c r="I311" s="7" t="n">
        <v>31.01</v>
      </c>
      <c r="J311" s="8" t="n">
        <v>866.3</v>
      </c>
      <c r="K311" s="7" t="n">
        <v>27.1</v>
      </c>
      <c r="L311" s="7" t="n">
        <v>23477.37</v>
      </c>
      <c r="M311" s="6" t="s">
        <v>387</v>
      </c>
    </row>
    <row r="312" customFormat="false" ht="15" hidden="false" customHeight="false" outlineLevel="0" collapsed="false">
      <c r="A312" s="6" t="s">
        <v>690</v>
      </c>
      <c r="B312" s="6" t="s">
        <v>676</v>
      </c>
      <c r="C312" s="6" t="s">
        <v>677</v>
      </c>
      <c r="D312" s="6" t="s">
        <v>87</v>
      </c>
      <c r="E312" s="6" t="s">
        <v>48</v>
      </c>
      <c r="F312" s="6" t="s">
        <v>49</v>
      </c>
      <c r="G312" s="6" t="s">
        <v>66</v>
      </c>
      <c r="H312" s="6" t="s">
        <v>55</v>
      </c>
      <c r="I312" s="7" t="n">
        <v>29.1</v>
      </c>
      <c r="J312" s="8" t="n">
        <v>760.3</v>
      </c>
      <c r="K312" s="7" t="n">
        <v>28.11</v>
      </c>
      <c r="L312" s="7" t="n">
        <v>21372.4</v>
      </c>
      <c r="M312" s="6" t="s">
        <v>691</v>
      </c>
    </row>
    <row r="313" customFormat="false" ht="15" hidden="false" customHeight="false" outlineLevel="0" collapsed="false">
      <c r="A313" s="6" t="s">
        <v>692</v>
      </c>
      <c r="B313" s="6" t="s">
        <v>676</v>
      </c>
      <c r="C313" s="6" t="s">
        <v>677</v>
      </c>
      <c r="D313" s="6" t="s">
        <v>87</v>
      </c>
      <c r="E313" s="6" t="s">
        <v>48</v>
      </c>
      <c r="F313" s="6" t="s">
        <v>61</v>
      </c>
      <c r="G313" s="6" t="s">
        <v>106</v>
      </c>
      <c r="H313" s="6" t="s">
        <v>51</v>
      </c>
      <c r="I313" s="7" t="n">
        <v>38.52</v>
      </c>
      <c r="J313" s="8" t="n">
        <v>1087</v>
      </c>
      <c r="K313" s="7" t="n">
        <v>23.79</v>
      </c>
      <c r="L313" s="7" t="n">
        <v>25859.62</v>
      </c>
      <c r="M313" s="6" t="s">
        <v>693</v>
      </c>
    </row>
    <row r="314" customFormat="false" ht="15" hidden="false" customHeight="false" outlineLevel="0" collapsed="false">
      <c r="A314" s="6" t="s">
        <v>694</v>
      </c>
      <c r="B314" s="6" t="s">
        <v>676</v>
      </c>
      <c r="C314" s="6" t="s">
        <v>677</v>
      </c>
      <c r="D314" s="6" t="s">
        <v>87</v>
      </c>
      <c r="E314" s="6" t="s">
        <v>48</v>
      </c>
      <c r="F314" s="6" t="s">
        <v>65</v>
      </c>
      <c r="G314" s="6" t="s">
        <v>50</v>
      </c>
      <c r="H314" s="6" t="s">
        <v>77</v>
      </c>
      <c r="I314" s="7" t="n">
        <v>31.9</v>
      </c>
      <c r="J314" s="8" t="n">
        <v>940</v>
      </c>
      <c r="K314" s="7" t="n">
        <v>28.07</v>
      </c>
      <c r="L314" s="7" t="n">
        <v>26384.53</v>
      </c>
      <c r="M314" s="6" t="s">
        <v>695</v>
      </c>
    </row>
    <row r="315" customFormat="false" ht="15" hidden="false" customHeight="false" outlineLevel="0" collapsed="false">
      <c r="A315" s="6" t="s">
        <v>696</v>
      </c>
      <c r="B315" s="6" t="s">
        <v>676</v>
      </c>
      <c r="C315" s="6" t="s">
        <v>677</v>
      </c>
      <c r="D315" s="6" t="s">
        <v>87</v>
      </c>
      <c r="E315" s="6" t="s">
        <v>48</v>
      </c>
      <c r="F315" s="6" t="s">
        <v>65</v>
      </c>
      <c r="G315" s="6" t="s">
        <v>106</v>
      </c>
      <c r="H315" s="6" t="s">
        <v>51</v>
      </c>
      <c r="I315" s="7" t="n">
        <v>32.72</v>
      </c>
      <c r="J315" s="8" t="n">
        <v>1651.8</v>
      </c>
      <c r="K315" s="7" t="n">
        <v>20.2</v>
      </c>
      <c r="L315" s="7" t="n">
        <v>33366.88</v>
      </c>
      <c r="M315" s="6" t="s">
        <v>697</v>
      </c>
    </row>
    <row r="316" customFormat="false" ht="15" hidden="false" customHeight="false" outlineLevel="0" collapsed="false">
      <c r="A316" s="6" t="s">
        <v>698</v>
      </c>
      <c r="B316" s="6" t="s">
        <v>676</v>
      </c>
      <c r="C316" s="6" t="s">
        <v>677</v>
      </c>
      <c r="D316" s="6" t="s">
        <v>87</v>
      </c>
      <c r="E316" s="6" t="s">
        <v>48</v>
      </c>
      <c r="F316" s="6" t="s">
        <v>54</v>
      </c>
      <c r="G316" s="6" t="s">
        <v>106</v>
      </c>
      <c r="H316" s="6" t="s">
        <v>51</v>
      </c>
      <c r="I316" s="7" t="n">
        <v>9.25</v>
      </c>
      <c r="J316" s="8" t="n">
        <v>1352.8</v>
      </c>
      <c r="K316" s="7" t="n">
        <v>5.71</v>
      </c>
      <c r="L316" s="7" t="n">
        <v>7724.33</v>
      </c>
      <c r="M316" s="6" t="s">
        <v>148</v>
      </c>
    </row>
    <row r="317" customFormat="false" ht="15" hidden="false" customHeight="false" outlineLevel="0" collapsed="false">
      <c r="A317" s="6" t="s">
        <v>699</v>
      </c>
      <c r="B317" s="6" t="s">
        <v>676</v>
      </c>
      <c r="C317" s="6" t="s">
        <v>677</v>
      </c>
      <c r="D317" s="6" t="s">
        <v>87</v>
      </c>
      <c r="E317" s="6" t="s">
        <v>48</v>
      </c>
      <c r="F317" s="6" t="s">
        <v>61</v>
      </c>
      <c r="G317" s="6" t="s">
        <v>50</v>
      </c>
      <c r="H317" s="6" t="s">
        <v>55</v>
      </c>
      <c r="I317" s="7" t="n">
        <v>38.56</v>
      </c>
      <c r="J317" s="8" t="n">
        <v>1016.4</v>
      </c>
      <c r="K317" s="7" t="n">
        <v>35.63</v>
      </c>
      <c r="L317" s="7" t="n">
        <v>36212.92</v>
      </c>
      <c r="M317" s="6" t="s">
        <v>204</v>
      </c>
    </row>
    <row r="318" customFormat="false" ht="15" hidden="false" customHeight="false" outlineLevel="0" collapsed="false">
      <c r="A318" s="6" t="s">
        <v>700</v>
      </c>
      <c r="B318" s="6" t="s">
        <v>676</v>
      </c>
      <c r="C318" s="6" t="s">
        <v>677</v>
      </c>
      <c r="D318" s="6" t="s">
        <v>87</v>
      </c>
      <c r="E318" s="6" t="s">
        <v>48</v>
      </c>
      <c r="F318" s="6" t="s">
        <v>54</v>
      </c>
      <c r="G318" s="6" t="s">
        <v>147</v>
      </c>
      <c r="H318" s="6" t="s">
        <v>51</v>
      </c>
      <c r="I318" s="7" t="n">
        <v>9.55</v>
      </c>
      <c r="J318" s="8" t="n">
        <v>166.7</v>
      </c>
      <c r="K318" s="7" t="n">
        <v>8.62</v>
      </c>
      <c r="L318" s="7" t="n">
        <v>1437.06</v>
      </c>
      <c r="M318" s="6" t="s">
        <v>665</v>
      </c>
    </row>
    <row r="319" customFormat="false" ht="15" hidden="false" customHeight="false" outlineLevel="0" collapsed="false">
      <c r="A319" s="6" t="s">
        <v>701</v>
      </c>
      <c r="B319" s="6" t="s">
        <v>676</v>
      </c>
      <c r="C319" s="6" t="s">
        <v>677</v>
      </c>
      <c r="D319" s="6" t="s">
        <v>87</v>
      </c>
      <c r="E319" s="6" t="s">
        <v>48</v>
      </c>
      <c r="F319" s="6" t="s">
        <v>61</v>
      </c>
      <c r="G319" s="6" t="s">
        <v>62</v>
      </c>
      <c r="H319" s="6" t="s">
        <v>77</v>
      </c>
      <c r="I319" s="7" t="n">
        <v>37.54</v>
      </c>
      <c r="J319" s="8" t="n">
        <v>1097</v>
      </c>
      <c r="K319" s="7" t="n">
        <v>28.15</v>
      </c>
      <c r="L319" s="7" t="n">
        <v>30880.78</v>
      </c>
      <c r="M319" s="6" t="s">
        <v>702</v>
      </c>
    </row>
    <row r="320" customFormat="false" ht="15" hidden="false" customHeight="false" outlineLevel="0" collapsed="false">
      <c r="A320" s="6" t="s">
        <v>703</v>
      </c>
      <c r="B320" s="6" t="s">
        <v>676</v>
      </c>
      <c r="C320" s="6" t="s">
        <v>677</v>
      </c>
      <c r="D320" s="6" t="s">
        <v>87</v>
      </c>
      <c r="E320" s="6" t="s">
        <v>48</v>
      </c>
      <c r="F320" s="6" t="s">
        <v>61</v>
      </c>
      <c r="G320" s="6" t="s">
        <v>66</v>
      </c>
      <c r="H320" s="6" t="s">
        <v>51</v>
      </c>
      <c r="I320" s="7" t="n">
        <v>38.99</v>
      </c>
      <c r="J320" s="8" t="n">
        <v>697.9</v>
      </c>
      <c r="K320" s="7" t="n">
        <v>34.08</v>
      </c>
      <c r="L320" s="7" t="n">
        <v>23784.73</v>
      </c>
      <c r="M320" s="6" t="s">
        <v>704</v>
      </c>
    </row>
    <row r="321" customFormat="false" ht="15" hidden="false" customHeight="false" outlineLevel="0" collapsed="false">
      <c r="A321" s="6" t="s">
        <v>705</v>
      </c>
      <c r="B321" s="6" t="s">
        <v>676</v>
      </c>
      <c r="C321" s="6" t="s">
        <v>677</v>
      </c>
      <c r="D321" s="6" t="s">
        <v>87</v>
      </c>
      <c r="E321" s="6" t="s">
        <v>48</v>
      </c>
      <c r="F321" s="6" t="s">
        <v>61</v>
      </c>
      <c r="G321" s="6" t="s">
        <v>50</v>
      </c>
      <c r="H321" s="6" t="s">
        <v>55</v>
      </c>
      <c r="I321" s="7" t="n">
        <v>39.39</v>
      </c>
      <c r="J321" s="8" t="n">
        <v>987.5</v>
      </c>
      <c r="K321" s="7" t="n">
        <v>36.39</v>
      </c>
      <c r="L321" s="7" t="n">
        <v>35936.16</v>
      </c>
      <c r="M321" s="6" t="s">
        <v>686</v>
      </c>
    </row>
    <row r="322" customFormat="false" ht="15" hidden="false" customHeight="false" outlineLevel="0" collapsed="false">
      <c r="A322" s="6" t="s">
        <v>706</v>
      </c>
      <c r="B322" s="6" t="s">
        <v>676</v>
      </c>
      <c r="C322" s="6" t="s">
        <v>677</v>
      </c>
      <c r="D322" s="6" t="s">
        <v>87</v>
      </c>
      <c r="E322" s="6" t="s">
        <v>48</v>
      </c>
      <c r="F322" s="6" t="s">
        <v>54</v>
      </c>
      <c r="G322" s="6" t="s">
        <v>50</v>
      </c>
      <c r="H322" s="6" t="s">
        <v>51</v>
      </c>
      <c r="I322" s="7" t="n">
        <v>10.63</v>
      </c>
      <c r="J322" s="8" t="n">
        <v>1073.4</v>
      </c>
      <c r="K322" s="7" t="n">
        <v>8.89</v>
      </c>
      <c r="L322" s="7" t="n">
        <v>9542.48</v>
      </c>
      <c r="M322" s="6" t="s">
        <v>707</v>
      </c>
    </row>
    <row r="323" customFormat="false" ht="15" hidden="false" customHeight="false" outlineLevel="0" collapsed="false">
      <c r="A323" s="6" t="s">
        <v>708</v>
      </c>
      <c r="B323" s="6" t="s">
        <v>676</v>
      </c>
      <c r="C323" s="6" t="s">
        <v>677</v>
      </c>
      <c r="D323" s="6" t="s">
        <v>87</v>
      </c>
      <c r="E323" s="6" t="s">
        <v>48</v>
      </c>
      <c r="F323" s="6" t="s">
        <v>88</v>
      </c>
      <c r="G323" s="6" t="s">
        <v>62</v>
      </c>
      <c r="H323" s="6" t="s">
        <v>51</v>
      </c>
      <c r="I323" s="7" t="n">
        <v>29.63</v>
      </c>
      <c r="J323" s="8" t="n">
        <v>535.3</v>
      </c>
      <c r="K323" s="7" t="n">
        <v>21.11</v>
      </c>
      <c r="L323" s="7" t="n">
        <v>11300.55</v>
      </c>
      <c r="M323" s="6" t="s">
        <v>709</v>
      </c>
    </row>
    <row r="324" customFormat="false" ht="15" hidden="false" customHeight="false" outlineLevel="0" collapsed="false">
      <c r="A324" s="6" t="s">
        <v>710</v>
      </c>
      <c r="B324" s="6" t="s">
        <v>711</v>
      </c>
      <c r="C324" s="6" t="s">
        <v>712</v>
      </c>
      <c r="D324" s="6" t="s">
        <v>144</v>
      </c>
      <c r="E324" s="6" t="s">
        <v>48</v>
      </c>
      <c r="F324" s="6" t="s">
        <v>49</v>
      </c>
      <c r="G324" s="6" t="s">
        <v>66</v>
      </c>
      <c r="H324" s="6" t="s">
        <v>77</v>
      </c>
      <c r="I324" s="7" t="n">
        <v>29.64</v>
      </c>
      <c r="J324" s="8" t="n">
        <v>1165</v>
      </c>
      <c r="K324" s="7" t="n">
        <v>27.27</v>
      </c>
      <c r="L324" s="7" t="n">
        <v>31770.84</v>
      </c>
      <c r="M324" s="6" t="s">
        <v>538</v>
      </c>
    </row>
    <row r="325" customFormat="false" ht="15" hidden="false" customHeight="false" outlineLevel="0" collapsed="false">
      <c r="A325" s="6" t="s">
        <v>713</v>
      </c>
      <c r="B325" s="6" t="s">
        <v>711</v>
      </c>
      <c r="C325" s="6" t="s">
        <v>712</v>
      </c>
      <c r="D325" s="6" t="s">
        <v>144</v>
      </c>
      <c r="E325" s="6" t="s">
        <v>48</v>
      </c>
      <c r="F325" s="6" t="s">
        <v>65</v>
      </c>
      <c r="G325" s="6" t="s">
        <v>50</v>
      </c>
      <c r="H325" s="6" t="s">
        <v>51</v>
      </c>
      <c r="I325" s="7" t="n">
        <v>31.69</v>
      </c>
      <c r="J325" s="8" t="n">
        <v>1391.8</v>
      </c>
      <c r="K325" s="7" t="n">
        <v>26.49</v>
      </c>
      <c r="L325" s="7" t="n">
        <v>36868.57</v>
      </c>
      <c r="M325" s="6" t="s">
        <v>471</v>
      </c>
    </row>
    <row r="326" customFormat="false" ht="15" hidden="false" customHeight="false" outlineLevel="0" collapsed="false">
      <c r="A326" s="6" t="s">
        <v>714</v>
      </c>
      <c r="B326" s="6" t="s">
        <v>711</v>
      </c>
      <c r="C326" s="6" t="s">
        <v>712</v>
      </c>
      <c r="D326" s="6" t="s">
        <v>144</v>
      </c>
      <c r="E326" s="6" t="s">
        <v>48</v>
      </c>
      <c r="F326" s="6" t="s">
        <v>65</v>
      </c>
      <c r="G326" s="6" t="s">
        <v>50</v>
      </c>
      <c r="H326" s="6" t="s">
        <v>51</v>
      </c>
      <c r="I326" s="7" t="n">
        <v>31.75</v>
      </c>
      <c r="J326" s="8" t="n">
        <v>1179.2</v>
      </c>
      <c r="K326" s="7" t="n">
        <v>26.55</v>
      </c>
      <c r="L326" s="7" t="n">
        <v>31308.77</v>
      </c>
      <c r="M326" s="6" t="s">
        <v>158</v>
      </c>
    </row>
    <row r="327" customFormat="false" ht="15" hidden="false" customHeight="false" outlineLevel="0" collapsed="false">
      <c r="A327" s="6" t="s">
        <v>715</v>
      </c>
      <c r="B327" s="6" t="s">
        <v>711</v>
      </c>
      <c r="C327" s="6" t="s">
        <v>712</v>
      </c>
      <c r="D327" s="6" t="s">
        <v>144</v>
      </c>
      <c r="E327" s="6" t="s">
        <v>48</v>
      </c>
      <c r="F327" s="6" t="s">
        <v>65</v>
      </c>
      <c r="G327" s="6" t="s">
        <v>147</v>
      </c>
      <c r="H327" s="6" t="s">
        <v>51</v>
      </c>
      <c r="I327" s="7" t="n">
        <v>32.72</v>
      </c>
      <c r="J327" s="8" t="n">
        <v>828.5</v>
      </c>
      <c r="K327" s="7" t="n">
        <v>29.53</v>
      </c>
      <c r="L327" s="7" t="n">
        <v>24466.19</v>
      </c>
      <c r="M327" s="6" t="s">
        <v>433</v>
      </c>
    </row>
    <row r="328" customFormat="false" ht="15" hidden="false" customHeight="false" outlineLevel="0" collapsed="false">
      <c r="A328" s="6" t="s">
        <v>716</v>
      </c>
      <c r="B328" s="6" t="s">
        <v>711</v>
      </c>
      <c r="C328" s="6" t="s">
        <v>712</v>
      </c>
      <c r="D328" s="6" t="s">
        <v>144</v>
      </c>
      <c r="E328" s="6" t="s">
        <v>48</v>
      </c>
      <c r="F328" s="6" t="s">
        <v>65</v>
      </c>
      <c r="G328" s="6" t="s">
        <v>106</v>
      </c>
      <c r="H328" s="6" t="s">
        <v>55</v>
      </c>
      <c r="I328" s="7" t="n">
        <v>31.27</v>
      </c>
      <c r="J328" s="8" t="n">
        <v>1483.4</v>
      </c>
      <c r="K328" s="7" t="n">
        <v>21.34</v>
      </c>
      <c r="L328" s="7" t="n">
        <v>31655.08</v>
      </c>
      <c r="M328" s="6" t="s">
        <v>717</v>
      </c>
    </row>
    <row r="329" customFormat="false" ht="15" hidden="false" customHeight="false" outlineLevel="0" collapsed="false">
      <c r="A329" s="6" t="s">
        <v>718</v>
      </c>
      <c r="B329" s="6" t="s">
        <v>711</v>
      </c>
      <c r="C329" s="6" t="s">
        <v>712</v>
      </c>
      <c r="D329" s="6" t="s">
        <v>144</v>
      </c>
      <c r="E329" s="6" t="s">
        <v>48</v>
      </c>
      <c r="F329" s="6" t="s">
        <v>88</v>
      </c>
      <c r="G329" s="6" t="s">
        <v>147</v>
      </c>
      <c r="H329" s="6" t="s">
        <v>55</v>
      </c>
      <c r="I329" s="7" t="n">
        <v>29.77</v>
      </c>
      <c r="J329" s="8" t="n">
        <v>894.6</v>
      </c>
      <c r="K329" s="7" t="n">
        <v>29.69</v>
      </c>
      <c r="L329" s="7" t="n">
        <v>26561.46</v>
      </c>
      <c r="M329" s="6" t="s">
        <v>109</v>
      </c>
    </row>
    <row r="330" customFormat="false" ht="15" hidden="false" customHeight="false" outlineLevel="0" collapsed="false">
      <c r="A330" s="6" t="s">
        <v>719</v>
      </c>
      <c r="B330" s="6" t="s">
        <v>711</v>
      </c>
      <c r="C330" s="6" t="s">
        <v>712</v>
      </c>
      <c r="D330" s="6" t="s">
        <v>144</v>
      </c>
      <c r="E330" s="6" t="s">
        <v>48</v>
      </c>
      <c r="F330" s="6" t="s">
        <v>61</v>
      </c>
      <c r="G330" s="6" t="s">
        <v>66</v>
      </c>
      <c r="H330" s="6" t="s">
        <v>51</v>
      </c>
      <c r="I330" s="7" t="n">
        <v>39.01</v>
      </c>
      <c r="J330" s="8" t="n">
        <v>501.1</v>
      </c>
      <c r="K330" s="7" t="n">
        <v>34.1</v>
      </c>
      <c r="L330" s="7" t="n">
        <v>17088.67</v>
      </c>
      <c r="M330" s="6" t="s">
        <v>720</v>
      </c>
    </row>
    <row r="331" customFormat="false" ht="15" hidden="false" customHeight="false" outlineLevel="0" collapsed="false">
      <c r="A331" s="6" t="s">
        <v>721</v>
      </c>
      <c r="B331" s="6" t="s">
        <v>722</v>
      </c>
      <c r="C331" s="6" t="s">
        <v>723</v>
      </c>
      <c r="D331" s="6" t="s">
        <v>87</v>
      </c>
      <c r="E331" s="6" t="s">
        <v>48</v>
      </c>
      <c r="F331" s="6" t="s">
        <v>61</v>
      </c>
      <c r="G331" s="6" t="s">
        <v>62</v>
      </c>
      <c r="H331" s="6" t="s">
        <v>55</v>
      </c>
      <c r="I331" s="7" t="n">
        <v>38.7</v>
      </c>
      <c r="J331" s="8" t="n">
        <v>1239</v>
      </c>
      <c r="K331" s="7" t="n">
        <v>30.48</v>
      </c>
      <c r="L331" s="7" t="n">
        <v>37763.32</v>
      </c>
      <c r="M331" s="6" t="s">
        <v>536</v>
      </c>
    </row>
    <row r="332" customFormat="false" ht="15" hidden="false" customHeight="false" outlineLevel="0" collapsed="false">
      <c r="A332" s="6" t="s">
        <v>724</v>
      </c>
      <c r="B332" s="6" t="s">
        <v>722</v>
      </c>
      <c r="C332" s="6" t="s">
        <v>723</v>
      </c>
      <c r="D332" s="6" t="s">
        <v>87</v>
      </c>
      <c r="E332" s="6" t="s">
        <v>48</v>
      </c>
      <c r="F332" s="6" t="s">
        <v>88</v>
      </c>
      <c r="G332" s="6" t="s">
        <v>106</v>
      </c>
      <c r="H332" s="6" t="s">
        <v>51</v>
      </c>
      <c r="I332" s="7" t="n">
        <v>29.81</v>
      </c>
      <c r="J332" s="8" t="n">
        <v>1527.5</v>
      </c>
      <c r="K332" s="7" t="n">
        <v>18.41</v>
      </c>
      <c r="L332" s="7" t="n">
        <v>28121.64</v>
      </c>
      <c r="M332" s="6" t="s">
        <v>697</v>
      </c>
    </row>
    <row r="333" customFormat="false" ht="15" hidden="false" customHeight="false" outlineLevel="0" collapsed="false">
      <c r="A333" s="6" t="s">
        <v>725</v>
      </c>
      <c r="B333" s="6" t="s">
        <v>722</v>
      </c>
      <c r="C333" s="6" t="s">
        <v>723</v>
      </c>
      <c r="D333" s="6" t="s">
        <v>87</v>
      </c>
      <c r="E333" s="6" t="s">
        <v>48</v>
      </c>
      <c r="F333" s="6" t="s">
        <v>65</v>
      </c>
      <c r="G333" s="6" t="s">
        <v>62</v>
      </c>
      <c r="H333" s="6" t="s">
        <v>51</v>
      </c>
      <c r="I333" s="7" t="n">
        <v>31.48</v>
      </c>
      <c r="J333" s="8" t="n">
        <v>1451.9</v>
      </c>
      <c r="K333" s="7" t="n">
        <v>22.43</v>
      </c>
      <c r="L333" s="7" t="n">
        <v>32566.45</v>
      </c>
      <c r="M333" s="6" t="s">
        <v>653</v>
      </c>
    </row>
    <row r="334" customFormat="false" ht="15" hidden="false" customHeight="false" outlineLevel="0" collapsed="false">
      <c r="A334" s="6" t="s">
        <v>726</v>
      </c>
      <c r="B334" s="6" t="s">
        <v>722</v>
      </c>
      <c r="C334" s="6" t="s">
        <v>723</v>
      </c>
      <c r="D334" s="6" t="s">
        <v>87</v>
      </c>
      <c r="E334" s="6" t="s">
        <v>48</v>
      </c>
      <c r="F334" s="6" t="s">
        <v>88</v>
      </c>
      <c r="G334" s="6" t="s">
        <v>50</v>
      </c>
      <c r="H334" s="6" t="s">
        <v>55</v>
      </c>
      <c r="I334" s="7" t="n">
        <v>28.08</v>
      </c>
      <c r="J334" s="8" t="n">
        <v>792.8</v>
      </c>
      <c r="K334" s="7" t="n">
        <v>25.94</v>
      </c>
      <c r="L334" s="7" t="n">
        <v>20565.17</v>
      </c>
      <c r="M334" s="6" t="s">
        <v>727</v>
      </c>
    </row>
    <row r="335" customFormat="false" ht="15" hidden="false" customHeight="false" outlineLevel="0" collapsed="false">
      <c r="A335" s="6" t="s">
        <v>728</v>
      </c>
      <c r="B335" s="6" t="s">
        <v>722</v>
      </c>
      <c r="C335" s="6" t="s">
        <v>723</v>
      </c>
      <c r="D335" s="6" t="s">
        <v>87</v>
      </c>
      <c r="E335" s="6" t="s">
        <v>48</v>
      </c>
      <c r="F335" s="6" t="s">
        <v>88</v>
      </c>
      <c r="G335" s="6" t="s">
        <v>66</v>
      </c>
      <c r="H335" s="6" t="s">
        <v>77</v>
      </c>
      <c r="I335" s="7" t="n">
        <v>28.41</v>
      </c>
      <c r="J335" s="8" t="n">
        <v>674.6</v>
      </c>
      <c r="K335" s="7" t="n">
        <v>26.14</v>
      </c>
      <c r="L335" s="7" t="n">
        <v>17634.26</v>
      </c>
      <c r="M335" s="6" t="s">
        <v>518</v>
      </c>
    </row>
    <row r="336" customFormat="false" ht="15" hidden="false" customHeight="false" outlineLevel="0" collapsed="false">
      <c r="A336" s="6" t="s">
        <v>729</v>
      </c>
      <c r="B336" s="6" t="s">
        <v>722</v>
      </c>
      <c r="C336" s="6" t="s">
        <v>723</v>
      </c>
      <c r="D336" s="6" t="s">
        <v>87</v>
      </c>
      <c r="E336" s="6" t="s">
        <v>48</v>
      </c>
      <c r="F336" s="6" t="s">
        <v>54</v>
      </c>
      <c r="G336" s="6" t="s">
        <v>50</v>
      </c>
      <c r="H336" s="6" t="s">
        <v>55</v>
      </c>
      <c r="I336" s="7" t="n">
        <v>10.13</v>
      </c>
      <c r="J336" s="8" t="n">
        <v>1009.6</v>
      </c>
      <c r="K336" s="7" t="n">
        <v>9.36</v>
      </c>
      <c r="L336" s="7" t="n">
        <v>9449.55</v>
      </c>
      <c r="M336" s="6" t="s">
        <v>730</v>
      </c>
    </row>
    <row r="337" customFormat="false" ht="15" hidden="false" customHeight="false" outlineLevel="0" collapsed="false">
      <c r="A337" s="6" t="s">
        <v>731</v>
      </c>
      <c r="B337" s="6" t="s">
        <v>722</v>
      </c>
      <c r="C337" s="6" t="s">
        <v>723</v>
      </c>
      <c r="D337" s="6" t="s">
        <v>87</v>
      </c>
      <c r="E337" s="6" t="s">
        <v>48</v>
      </c>
      <c r="F337" s="6" t="s">
        <v>54</v>
      </c>
      <c r="G337" s="6" t="s">
        <v>50</v>
      </c>
      <c r="H337" s="6" t="s">
        <v>55</v>
      </c>
      <c r="I337" s="7" t="n">
        <v>9.59</v>
      </c>
      <c r="J337" s="8" t="n">
        <v>1432.6</v>
      </c>
      <c r="K337" s="7" t="n">
        <v>8.86</v>
      </c>
      <c r="L337" s="7" t="n">
        <v>12693.11</v>
      </c>
      <c r="M337" s="6" t="s">
        <v>732</v>
      </c>
    </row>
    <row r="338" customFormat="false" ht="15" hidden="false" customHeight="false" outlineLevel="0" collapsed="false">
      <c r="A338" s="6" t="s">
        <v>733</v>
      </c>
      <c r="B338" s="6" t="s">
        <v>722</v>
      </c>
      <c r="C338" s="6" t="s">
        <v>723</v>
      </c>
      <c r="D338" s="6" t="s">
        <v>87</v>
      </c>
      <c r="E338" s="6" t="s">
        <v>48</v>
      </c>
      <c r="F338" s="6" t="s">
        <v>88</v>
      </c>
      <c r="G338" s="6" t="s">
        <v>147</v>
      </c>
      <c r="H338" s="6" t="s">
        <v>55</v>
      </c>
      <c r="I338" s="7" t="n">
        <v>27.74</v>
      </c>
      <c r="J338" s="8" t="n">
        <v>1079.2</v>
      </c>
      <c r="K338" s="7" t="n">
        <v>27.67</v>
      </c>
      <c r="L338" s="7" t="n">
        <v>29862.31</v>
      </c>
      <c r="M338" s="6" t="s">
        <v>253</v>
      </c>
    </row>
    <row r="339" customFormat="false" ht="15" hidden="false" customHeight="false" outlineLevel="0" collapsed="false">
      <c r="A339" s="6" t="s">
        <v>734</v>
      </c>
      <c r="B339" s="6" t="s">
        <v>735</v>
      </c>
      <c r="C339" s="6" t="s">
        <v>736</v>
      </c>
      <c r="D339" s="6" t="s">
        <v>194</v>
      </c>
      <c r="E339" s="6" t="s">
        <v>48</v>
      </c>
      <c r="F339" s="6" t="s">
        <v>88</v>
      </c>
      <c r="G339" s="6" t="s">
        <v>62</v>
      </c>
      <c r="H339" s="6" t="s">
        <v>55</v>
      </c>
      <c r="I339" s="7" t="n">
        <v>29.17</v>
      </c>
      <c r="J339" s="8" t="n">
        <v>675.9</v>
      </c>
      <c r="K339" s="7" t="n">
        <v>22.97</v>
      </c>
      <c r="L339" s="7" t="n">
        <v>15526.38</v>
      </c>
      <c r="M339" s="6" t="s">
        <v>264</v>
      </c>
    </row>
    <row r="340" customFormat="false" ht="15" hidden="false" customHeight="false" outlineLevel="0" collapsed="false">
      <c r="A340" s="6" t="s">
        <v>737</v>
      </c>
      <c r="B340" s="6" t="s">
        <v>735</v>
      </c>
      <c r="C340" s="6" t="s">
        <v>736</v>
      </c>
      <c r="D340" s="6" t="s">
        <v>194</v>
      </c>
      <c r="E340" s="6" t="s">
        <v>48</v>
      </c>
      <c r="F340" s="6" t="s">
        <v>65</v>
      </c>
      <c r="G340" s="6" t="s">
        <v>66</v>
      </c>
      <c r="H340" s="6" t="s">
        <v>55</v>
      </c>
      <c r="I340" s="7" t="n">
        <v>31.98</v>
      </c>
      <c r="J340" s="8" t="n">
        <v>1368.5</v>
      </c>
      <c r="K340" s="7" t="n">
        <v>30.89</v>
      </c>
      <c r="L340" s="7" t="n">
        <v>42273.23</v>
      </c>
      <c r="M340" s="6" t="s">
        <v>691</v>
      </c>
    </row>
    <row r="341" customFormat="false" ht="15" hidden="false" customHeight="false" outlineLevel="0" collapsed="false">
      <c r="A341" s="6" t="s">
        <v>738</v>
      </c>
      <c r="B341" s="6" t="s">
        <v>735</v>
      </c>
      <c r="C341" s="6" t="s">
        <v>736</v>
      </c>
      <c r="D341" s="6" t="s">
        <v>194</v>
      </c>
      <c r="E341" s="6" t="s">
        <v>48</v>
      </c>
      <c r="F341" s="6" t="s">
        <v>61</v>
      </c>
      <c r="G341" s="6" t="s">
        <v>50</v>
      </c>
      <c r="H341" s="6" t="s">
        <v>77</v>
      </c>
      <c r="I341" s="7" t="n">
        <v>37.69</v>
      </c>
      <c r="J341" s="8" t="n">
        <v>1588.2</v>
      </c>
      <c r="K341" s="7" t="n">
        <v>33.16</v>
      </c>
      <c r="L341" s="7" t="n">
        <v>52664.31</v>
      </c>
      <c r="M341" s="6" t="s">
        <v>99</v>
      </c>
    </row>
    <row r="342" customFormat="false" ht="15" hidden="false" customHeight="false" outlineLevel="0" collapsed="false">
      <c r="A342" s="6" t="s">
        <v>739</v>
      </c>
      <c r="B342" s="6" t="s">
        <v>735</v>
      </c>
      <c r="C342" s="6" t="s">
        <v>736</v>
      </c>
      <c r="D342" s="6" t="s">
        <v>194</v>
      </c>
      <c r="E342" s="6" t="s">
        <v>48</v>
      </c>
      <c r="F342" s="6" t="s">
        <v>61</v>
      </c>
      <c r="G342" s="6" t="s">
        <v>62</v>
      </c>
      <c r="H342" s="6" t="s">
        <v>51</v>
      </c>
      <c r="I342" s="7" t="n">
        <v>39.27</v>
      </c>
      <c r="J342" s="8" t="n">
        <v>1114.2</v>
      </c>
      <c r="K342" s="7" t="n">
        <v>27.98</v>
      </c>
      <c r="L342" s="7" t="n">
        <v>31174.35</v>
      </c>
      <c r="M342" s="6" t="s">
        <v>740</v>
      </c>
    </row>
    <row r="343" customFormat="false" ht="15" hidden="false" customHeight="false" outlineLevel="0" collapsed="false">
      <c r="A343" s="6" t="s">
        <v>741</v>
      </c>
      <c r="B343" s="6" t="s">
        <v>735</v>
      </c>
      <c r="C343" s="6" t="s">
        <v>736</v>
      </c>
      <c r="D343" s="6" t="s">
        <v>194</v>
      </c>
      <c r="E343" s="6" t="s">
        <v>48</v>
      </c>
      <c r="F343" s="6" t="s">
        <v>54</v>
      </c>
      <c r="G343" s="6" t="s">
        <v>50</v>
      </c>
      <c r="H343" s="6" t="s">
        <v>51</v>
      </c>
      <c r="I343" s="7" t="n">
        <v>10.24</v>
      </c>
      <c r="J343" s="8" t="n">
        <v>750</v>
      </c>
      <c r="K343" s="7" t="n">
        <v>8.56</v>
      </c>
      <c r="L343" s="7" t="n">
        <v>6420.06</v>
      </c>
      <c r="M343" s="6" t="s">
        <v>742</v>
      </c>
    </row>
    <row r="344" customFormat="false" ht="15" hidden="false" customHeight="false" outlineLevel="0" collapsed="false">
      <c r="A344" s="6" t="s">
        <v>743</v>
      </c>
      <c r="B344" s="6" t="s">
        <v>735</v>
      </c>
      <c r="C344" s="6" t="s">
        <v>736</v>
      </c>
      <c r="D344" s="6" t="s">
        <v>194</v>
      </c>
      <c r="E344" s="6" t="s">
        <v>48</v>
      </c>
      <c r="F344" s="6" t="s">
        <v>49</v>
      </c>
      <c r="G344" s="6" t="s">
        <v>66</v>
      </c>
      <c r="H344" s="6" t="s">
        <v>55</v>
      </c>
      <c r="I344" s="7" t="n">
        <v>28.23</v>
      </c>
      <c r="J344" s="8" t="n">
        <v>1491.3</v>
      </c>
      <c r="K344" s="7" t="n">
        <v>27.27</v>
      </c>
      <c r="L344" s="7" t="n">
        <v>40667.14</v>
      </c>
      <c r="M344" s="6" t="s">
        <v>534</v>
      </c>
    </row>
    <row r="345" customFormat="false" ht="15" hidden="false" customHeight="false" outlineLevel="0" collapsed="false">
      <c r="A345" s="6" t="s">
        <v>744</v>
      </c>
      <c r="B345" s="6" t="s">
        <v>735</v>
      </c>
      <c r="C345" s="6" t="s">
        <v>736</v>
      </c>
      <c r="D345" s="6" t="s">
        <v>194</v>
      </c>
      <c r="E345" s="6" t="s">
        <v>48</v>
      </c>
      <c r="F345" s="6" t="s">
        <v>49</v>
      </c>
      <c r="G345" s="6" t="s">
        <v>62</v>
      </c>
      <c r="H345" s="6" t="s">
        <v>55</v>
      </c>
      <c r="I345" s="7" t="n">
        <v>27.86</v>
      </c>
      <c r="J345" s="8" t="n">
        <v>835.3</v>
      </c>
      <c r="K345" s="7" t="n">
        <v>21.94</v>
      </c>
      <c r="L345" s="7" t="n">
        <v>18326.35</v>
      </c>
      <c r="M345" s="6" t="s">
        <v>745</v>
      </c>
    </row>
    <row r="346" customFormat="false" ht="15" hidden="false" customHeight="false" outlineLevel="0" collapsed="false">
      <c r="A346" s="6" t="s">
        <v>746</v>
      </c>
      <c r="B346" s="6" t="s">
        <v>735</v>
      </c>
      <c r="C346" s="6" t="s">
        <v>736</v>
      </c>
      <c r="D346" s="6" t="s">
        <v>194</v>
      </c>
      <c r="E346" s="6" t="s">
        <v>48</v>
      </c>
      <c r="F346" s="6" t="s">
        <v>65</v>
      </c>
      <c r="G346" s="6" t="s">
        <v>66</v>
      </c>
      <c r="H346" s="6" t="s">
        <v>51</v>
      </c>
      <c r="I346" s="7" t="n">
        <v>31.3</v>
      </c>
      <c r="J346" s="8" t="n">
        <v>1330.5</v>
      </c>
      <c r="K346" s="7" t="n">
        <v>27.35</v>
      </c>
      <c r="L346" s="7" t="n">
        <v>36389.88</v>
      </c>
      <c r="M346" s="6" t="s">
        <v>747</v>
      </c>
    </row>
    <row r="347" customFormat="false" ht="15" hidden="false" customHeight="false" outlineLevel="0" collapsed="false">
      <c r="A347" s="6" t="s">
        <v>748</v>
      </c>
      <c r="B347" s="6" t="s">
        <v>735</v>
      </c>
      <c r="C347" s="6" t="s">
        <v>736</v>
      </c>
      <c r="D347" s="6" t="s">
        <v>194</v>
      </c>
      <c r="E347" s="6" t="s">
        <v>48</v>
      </c>
      <c r="F347" s="6" t="s">
        <v>49</v>
      </c>
      <c r="G347" s="6" t="s">
        <v>50</v>
      </c>
      <c r="H347" s="6" t="s">
        <v>77</v>
      </c>
      <c r="I347" s="7" t="n">
        <v>27.8</v>
      </c>
      <c r="J347" s="8" t="n">
        <v>414.7</v>
      </c>
      <c r="K347" s="7" t="n">
        <v>24.47</v>
      </c>
      <c r="L347" s="7" t="n">
        <v>10147.07</v>
      </c>
      <c r="M347" s="6" t="s">
        <v>453</v>
      </c>
    </row>
    <row r="348" customFormat="false" ht="15" hidden="false" customHeight="false" outlineLevel="0" collapsed="false">
      <c r="A348" s="6" t="s">
        <v>749</v>
      </c>
      <c r="B348" s="6" t="s">
        <v>735</v>
      </c>
      <c r="C348" s="6" t="s">
        <v>736</v>
      </c>
      <c r="D348" s="6" t="s">
        <v>194</v>
      </c>
      <c r="E348" s="6" t="s">
        <v>48</v>
      </c>
      <c r="F348" s="6" t="s">
        <v>61</v>
      </c>
      <c r="G348" s="6" t="s">
        <v>50</v>
      </c>
      <c r="H348" s="6" t="s">
        <v>77</v>
      </c>
      <c r="I348" s="7" t="n">
        <v>38.06</v>
      </c>
      <c r="J348" s="8" t="n">
        <v>852.2</v>
      </c>
      <c r="K348" s="7" t="n">
        <v>33.5</v>
      </c>
      <c r="L348" s="7" t="n">
        <v>28547.8</v>
      </c>
      <c r="M348" s="6" t="s">
        <v>496</v>
      </c>
    </row>
    <row r="349" customFormat="false" ht="15" hidden="false" customHeight="false" outlineLevel="0" collapsed="false">
      <c r="A349" s="6" t="s">
        <v>750</v>
      </c>
      <c r="B349" s="6" t="s">
        <v>735</v>
      </c>
      <c r="C349" s="6" t="s">
        <v>736</v>
      </c>
      <c r="D349" s="6" t="s">
        <v>194</v>
      </c>
      <c r="E349" s="6" t="s">
        <v>48</v>
      </c>
      <c r="F349" s="6" t="s">
        <v>61</v>
      </c>
      <c r="G349" s="6" t="s">
        <v>62</v>
      </c>
      <c r="H349" s="6" t="s">
        <v>77</v>
      </c>
      <c r="I349" s="7" t="n">
        <v>39.4</v>
      </c>
      <c r="J349" s="8" t="n">
        <v>1321.6</v>
      </c>
      <c r="K349" s="7" t="n">
        <v>29.55</v>
      </c>
      <c r="L349" s="7" t="n">
        <v>39052.13</v>
      </c>
      <c r="M349" s="6" t="s">
        <v>585</v>
      </c>
    </row>
    <row r="350" customFormat="false" ht="15" hidden="false" customHeight="false" outlineLevel="0" collapsed="false">
      <c r="A350" s="6" t="s">
        <v>751</v>
      </c>
      <c r="B350" s="6" t="s">
        <v>752</v>
      </c>
      <c r="C350" s="6" t="s">
        <v>753</v>
      </c>
      <c r="D350" s="6" t="s">
        <v>194</v>
      </c>
      <c r="E350" s="6" t="s">
        <v>48</v>
      </c>
      <c r="F350" s="6" t="s">
        <v>65</v>
      </c>
      <c r="G350" s="6" t="s">
        <v>66</v>
      </c>
      <c r="H350" s="6" t="s">
        <v>51</v>
      </c>
      <c r="I350" s="7" t="n">
        <v>31.34</v>
      </c>
      <c r="J350" s="8" t="n">
        <v>1205.4</v>
      </c>
      <c r="K350" s="7" t="n">
        <v>27.39</v>
      </c>
      <c r="L350" s="7" t="n">
        <v>33015.79</v>
      </c>
      <c r="M350" s="6" t="s">
        <v>606</v>
      </c>
    </row>
    <row r="351" customFormat="false" ht="15" hidden="false" customHeight="false" outlineLevel="0" collapsed="false">
      <c r="A351" s="6" t="s">
        <v>754</v>
      </c>
      <c r="B351" s="6" t="s">
        <v>752</v>
      </c>
      <c r="C351" s="6" t="s">
        <v>753</v>
      </c>
      <c r="D351" s="6" t="s">
        <v>194</v>
      </c>
      <c r="E351" s="6" t="s">
        <v>48</v>
      </c>
      <c r="F351" s="6" t="s">
        <v>65</v>
      </c>
      <c r="G351" s="6" t="s">
        <v>106</v>
      </c>
      <c r="H351" s="6" t="s">
        <v>77</v>
      </c>
      <c r="I351" s="7" t="n">
        <v>32.79</v>
      </c>
      <c r="J351" s="8" t="n">
        <v>864.9</v>
      </c>
      <c r="K351" s="7" t="n">
        <v>21.31</v>
      </c>
      <c r="L351" s="7" t="n">
        <v>18430.3</v>
      </c>
      <c r="M351" s="6" t="s">
        <v>542</v>
      </c>
    </row>
    <row r="352" customFormat="false" ht="15" hidden="false" customHeight="false" outlineLevel="0" collapsed="false">
      <c r="A352" s="6" t="s">
        <v>755</v>
      </c>
      <c r="B352" s="6" t="s">
        <v>752</v>
      </c>
      <c r="C352" s="6" t="s">
        <v>753</v>
      </c>
      <c r="D352" s="6" t="s">
        <v>194</v>
      </c>
      <c r="E352" s="6" t="s">
        <v>48</v>
      </c>
      <c r="F352" s="6" t="s">
        <v>54</v>
      </c>
      <c r="G352" s="6" t="s">
        <v>147</v>
      </c>
      <c r="H352" s="6" t="s">
        <v>77</v>
      </c>
      <c r="I352" s="7" t="n">
        <v>10.78</v>
      </c>
      <c r="J352" s="8" t="n">
        <v>815.7</v>
      </c>
      <c r="K352" s="7" t="n">
        <v>10.24</v>
      </c>
      <c r="L352" s="7" t="n">
        <v>8352.58</v>
      </c>
      <c r="M352" s="6" t="s">
        <v>756</v>
      </c>
    </row>
    <row r="353" customFormat="false" ht="15" hidden="false" customHeight="false" outlineLevel="0" collapsed="false">
      <c r="A353" s="6" t="s">
        <v>757</v>
      </c>
      <c r="B353" s="6" t="s">
        <v>752</v>
      </c>
      <c r="C353" s="6" t="s">
        <v>753</v>
      </c>
      <c r="D353" s="6" t="s">
        <v>194</v>
      </c>
      <c r="E353" s="6" t="s">
        <v>48</v>
      </c>
      <c r="F353" s="6" t="s">
        <v>88</v>
      </c>
      <c r="G353" s="6" t="s">
        <v>106</v>
      </c>
      <c r="H353" s="6" t="s">
        <v>77</v>
      </c>
      <c r="I353" s="7" t="n">
        <v>28.69</v>
      </c>
      <c r="J353" s="8" t="n">
        <v>1152.8</v>
      </c>
      <c r="K353" s="7" t="n">
        <v>18.65</v>
      </c>
      <c r="L353" s="7" t="n">
        <v>21500.09</v>
      </c>
      <c r="M353" s="6" t="s">
        <v>758</v>
      </c>
    </row>
    <row r="354" customFormat="false" ht="15" hidden="false" customHeight="false" outlineLevel="0" collapsed="false">
      <c r="A354" s="6" t="s">
        <v>759</v>
      </c>
      <c r="B354" s="6" t="s">
        <v>752</v>
      </c>
      <c r="C354" s="6" t="s">
        <v>753</v>
      </c>
      <c r="D354" s="6" t="s">
        <v>194</v>
      </c>
      <c r="E354" s="6" t="s">
        <v>48</v>
      </c>
      <c r="F354" s="6" t="s">
        <v>54</v>
      </c>
      <c r="G354" s="6" t="s">
        <v>106</v>
      </c>
      <c r="H354" s="6" t="s">
        <v>51</v>
      </c>
      <c r="I354" s="7" t="n">
        <v>10.92</v>
      </c>
      <c r="J354" s="8" t="n">
        <v>1071.1</v>
      </c>
      <c r="K354" s="7" t="n">
        <v>6.74</v>
      </c>
      <c r="L354" s="7" t="n">
        <v>7219.12</v>
      </c>
      <c r="M354" s="6" t="s">
        <v>322</v>
      </c>
    </row>
    <row r="355" customFormat="false" ht="15" hidden="false" customHeight="false" outlineLevel="0" collapsed="false">
      <c r="A355" s="6" t="s">
        <v>760</v>
      </c>
      <c r="B355" s="6" t="s">
        <v>752</v>
      </c>
      <c r="C355" s="6" t="s">
        <v>753</v>
      </c>
      <c r="D355" s="6" t="s">
        <v>194</v>
      </c>
      <c r="E355" s="6" t="s">
        <v>48</v>
      </c>
      <c r="F355" s="6" t="s">
        <v>54</v>
      </c>
      <c r="G355" s="6" t="s">
        <v>50</v>
      </c>
      <c r="H355" s="6" t="s">
        <v>51</v>
      </c>
      <c r="I355" s="7" t="n">
        <v>9.32</v>
      </c>
      <c r="J355" s="8" t="n">
        <v>1042.8</v>
      </c>
      <c r="K355" s="7" t="n">
        <v>7.8</v>
      </c>
      <c r="L355" s="7" t="n">
        <v>8133.91</v>
      </c>
      <c r="M355" s="6" t="s">
        <v>761</v>
      </c>
    </row>
    <row r="356" customFormat="false" ht="15" hidden="false" customHeight="false" outlineLevel="0" collapsed="false">
      <c r="A356" s="6" t="s">
        <v>762</v>
      </c>
      <c r="B356" s="6" t="s">
        <v>752</v>
      </c>
      <c r="C356" s="6" t="s">
        <v>753</v>
      </c>
      <c r="D356" s="6" t="s">
        <v>194</v>
      </c>
      <c r="E356" s="6" t="s">
        <v>48</v>
      </c>
      <c r="F356" s="6" t="s">
        <v>49</v>
      </c>
      <c r="G356" s="6" t="s">
        <v>62</v>
      </c>
      <c r="H356" s="6" t="s">
        <v>51</v>
      </c>
      <c r="I356" s="7" t="n">
        <v>29.69</v>
      </c>
      <c r="J356" s="8" t="n">
        <v>545.1</v>
      </c>
      <c r="K356" s="7" t="n">
        <v>21.15</v>
      </c>
      <c r="L356" s="7" t="n">
        <v>11528.73</v>
      </c>
      <c r="M356" s="6" t="s">
        <v>160</v>
      </c>
    </row>
    <row r="357" customFormat="false" ht="15" hidden="false" customHeight="false" outlineLevel="0" collapsed="false">
      <c r="A357" s="6" t="s">
        <v>763</v>
      </c>
      <c r="B357" s="6" t="s">
        <v>752</v>
      </c>
      <c r="C357" s="6" t="s">
        <v>753</v>
      </c>
      <c r="D357" s="6" t="s">
        <v>194</v>
      </c>
      <c r="E357" s="6" t="s">
        <v>48</v>
      </c>
      <c r="F357" s="6" t="s">
        <v>65</v>
      </c>
      <c r="G357" s="6" t="s">
        <v>106</v>
      </c>
      <c r="H357" s="6" t="s">
        <v>55</v>
      </c>
      <c r="I357" s="7" t="n">
        <v>32</v>
      </c>
      <c r="J357" s="8" t="n">
        <v>1041.9</v>
      </c>
      <c r="K357" s="7" t="n">
        <v>21.84</v>
      </c>
      <c r="L357" s="7" t="n">
        <v>22754.44</v>
      </c>
      <c r="M357" s="6" t="s">
        <v>233</v>
      </c>
    </row>
    <row r="358" customFormat="false" ht="15" hidden="false" customHeight="false" outlineLevel="0" collapsed="false">
      <c r="A358" s="6" t="s">
        <v>764</v>
      </c>
      <c r="B358" s="6" t="s">
        <v>752</v>
      </c>
      <c r="C358" s="6" t="s">
        <v>753</v>
      </c>
      <c r="D358" s="6" t="s">
        <v>194</v>
      </c>
      <c r="E358" s="6" t="s">
        <v>48</v>
      </c>
      <c r="F358" s="6" t="s">
        <v>61</v>
      </c>
      <c r="G358" s="6" t="s">
        <v>66</v>
      </c>
      <c r="H358" s="6" t="s">
        <v>51</v>
      </c>
      <c r="I358" s="7" t="n">
        <v>37.69</v>
      </c>
      <c r="J358" s="8" t="n">
        <v>865.3</v>
      </c>
      <c r="K358" s="7" t="n">
        <v>32.94</v>
      </c>
      <c r="L358" s="7" t="n">
        <v>28503.66</v>
      </c>
      <c r="M358" s="6" t="s">
        <v>416</v>
      </c>
    </row>
    <row r="359" customFormat="false" ht="15" hidden="false" customHeight="false" outlineLevel="0" collapsed="false">
      <c r="A359" s="6" t="s">
        <v>765</v>
      </c>
      <c r="B359" s="6" t="s">
        <v>752</v>
      </c>
      <c r="C359" s="6" t="s">
        <v>753</v>
      </c>
      <c r="D359" s="6" t="s">
        <v>194</v>
      </c>
      <c r="E359" s="6" t="s">
        <v>48</v>
      </c>
      <c r="F359" s="6" t="s">
        <v>49</v>
      </c>
      <c r="G359" s="6" t="s">
        <v>62</v>
      </c>
      <c r="H359" s="6" t="s">
        <v>51</v>
      </c>
      <c r="I359" s="7" t="n">
        <v>27.82</v>
      </c>
      <c r="J359" s="8" t="n">
        <v>1335.8</v>
      </c>
      <c r="K359" s="7" t="n">
        <v>19.82</v>
      </c>
      <c r="L359" s="7" t="n">
        <v>26475.33</v>
      </c>
      <c r="M359" s="6" t="s">
        <v>243</v>
      </c>
    </row>
    <row r="360" customFormat="false" ht="15" hidden="false" customHeight="false" outlineLevel="0" collapsed="false">
      <c r="A360" s="6" t="s">
        <v>766</v>
      </c>
      <c r="B360" s="6" t="s">
        <v>752</v>
      </c>
      <c r="C360" s="6" t="s">
        <v>753</v>
      </c>
      <c r="D360" s="6" t="s">
        <v>194</v>
      </c>
      <c r="E360" s="6" t="s">
        <v>48</v>
      </c>
      <c r="F360" s="6" t="s">
        <v>65</v>
      </c>
      <c r="G360" s="6" t="s">
        <v>147</v>
      </c>
      <c r="H360" s="6" t="s">
        <v>55</v>
      </c>
      <c r="I360" s="7" t="n">
        <v>31.75</v>
      </c>
      <c r="J360" s="8" t="n">
        <v>948.4</v>
      </c>
      <c r="K360" s="7" t="n">
        <v>31.67</v>
      </c>
      <c r="L360" s="7" t="n">
        <v>30036.76</v>
      </c>
      <c r="M360" s="6" t="s">
        <v>564</v>
      </c>
    </row>
    <row r="361" customFormat="false" ht="15" hidden="false" customHeight="false" outlineLevel="0" collapsed="false">
      <c r="A361" s="6" t="s">
        <v>767</v>
      </c>
      <c r="B361" s="6" t="s">
        <v>752</v>
      </c>
      <c r="C361" s="6" t="s">
        <v>753</v>
      </c>
      <c r="D361" s="6" t="s">
        <v>194</v>
      </c>
      <c r="E361" s="6" t="s">
        <v>48</v>
      </c>
      <c r="F361" s="6" t="s">
        <v>49</v>
      </c>
      <c r="G361" s="6" t="s">
        <v>50</v>
      </c>
      <c r="H361" s="6" t="s">
        <v>55</v>
      </c>
      <c r="I361" s="7" t="n">
        <v>29.14</v>
      </c>
      <c r="J361" s="8" t="n">
        <v>965.8</v>
      </c>
      <c r="K361" s="7" t="n">
        <v>26.92</v>
      </c>
      <c r="L361" s="7" t="n">
        <v>26000.48</v>
      </c>
      <c r="M361" s="6" t="s">
        <v>216</v>
      </c>
    </row>
    <row r="362" customFormat="false" ht="15" hidden="false" customHeight="false" outlineLevel="0" collapsed="false">
      <c r="A362" s="6" t="s">
        <v>768</v>
      </c>
      <c r="B362" s="6" t="s">
        <v>752</v>
      </c>
      <c r="C362" s="6" t="s">
        <v>753</v>
      </c>
      <c r="D362" s="6" t="s">
        <v>194</v>
      </c>
      <c r="E362" s="6" t="s">
        <v>48</v>
      </c>
      <c r="F362" s="6" t="s">
        <v>88</v>
      </c>
      <c r="G362" s="6" t="s">
        <v>66</v>
      </c>
      <c r="H362" s="6" t="s">
        <v>55</v>
      </c>
      <c r="I362" s="7" t="n">
        <v>28.9</v>
      </c>
      <c r="J362" s="8" t="n">
        <v>924.5</v>
      </c>
      <c r="K362" s="7" t="n">
        <v>27.92</v>
      </c>
      <c r="L362" s="7" t="n">
        <v>25811.91</v>
      </c>
      <c r="M362" s="6" t="s">
        <v>769</v>
      </c>
    </row>
    <row r="363" customFormat="false" ht="15" hidden="false" customHeight="false" outlineLevel="0" collapsed="false">
      <c r="A363" s="6" t="s">
        <v>770</v>
      </c>
      <c r="B363" s="6" t="s">
        <v>752</v>
      </c>
      <c r="C363" s="6" t="s">
        <v>753</v>
      </c>
      <c r="D363" s="6" t="s">
        <v>194</v>
      </c>
      <c r="E363" s="6" t="s">
        <v>48</v>
      </c>
      <c r="F363" s="6" t="s">
        <v>88</v>
      </c>
      <c r="G363" s="6" t="s">
        <v>106</v>
      </c>
      <c r="H363" s="6" t="s">
        <v>55</v>
      </c>
      <c r="I363" s="7" t="n">
        <v>29.28</v>
      </c>
      <c r="J363" s="8" t="n">
        <v>948.6</v>
      </c>
      <c r="K363" s="7" t="n">
        <v>19.99</v>
      </c>
      <c r="L363" s="7" t="n">
        <v>18962.67</v>
      </c>
      <c r="M363" s="6" t="s">
        <v>771</v>
      </c>
    </row>
    <row r="364" customFormat="false" ht="15" hidden="false" customHeight="false" outlineLevel="0" collapsed="false">
      <c r="A364" s="6" t="s">
        <v>772</v>
      </c>
      <c r="B364" s="6" t="s">
        <v>752</v>
      </c>
      <c r="C364" s="6" t="s">
        <v>753</v>
      </c>
      <c r="D364" s="6" t="s">
        <v>194</v>
      </c>
      <c r="E364" s="6" t="s">
        <v>48</v>
      </c>
      <c r="F364" s="6" t="s">
        <v>54</v>
      </c>
      <c r="G364" s="6" t="s">
        <v>66</v>
      </c>
      <c r="H364" s="6" t="s">
        <v>55</v>
      </c>
      <c r="I364" s="7" t="n">
        <v>10.11</v>
      </c>
      <c r="J364" s="8" t="n">
        <v>1140.4</v>
      </c>
      <c r="K364" s="7" t="n">
        <v>9.77</v>
      </c>
      <c r="L364" s="7" t="n">
        <v>11141.54</v>
      </c>
      <c r="M364" s="6" t="s">
        <v>773</v>
      </c>
    </row>
    <row r="365" customFormat="false" ht="15" hidden="false" customHeight="false" outlineLevel="0" collapsed="false">
      <c r="A365" s="6" t="s">
        <v>774</v>
      </c>
      <c r="B365" s="6" t="s">
        <v>752</v>
      </c>
      <c r="C365" s="6" t="s">
        <v>753</v>
      </c>
      <c r="D365" s="6" t="s">
        <v>194</v>
      </c>
      <c r="E365" s="6" t="s">
        <v>48</v>
      </c>
      <c r="F365" s="6" t="s">
        <v>65</v>
      </c>
      <c r="G365" s="6" t="s">
        <v>50</v>
      </c>
      <c r="H365" s="6" t="s">
        <v>55</v>
      </c>
      <c r="I365" s="7" t="n">
        <v>32.57</v>
      </c>
      <c r="J365" s="8" t="n">
        <v>1143.1</v>
      </c>
      <c r="K365" s="7" t="n">
        <v>30.09</v>
      </c>
      <c r="L365" s="7" t="n">
        <v>34397.12</v>
      </c>
      <c r="M365" s="6" t="s">
        <v>487</v>
      </c>
    </row>
    <row r="366" customFormat="false" ht="15" hidden="false" customHeight="false" outlineLevel="0" collapsed="false">
      <c r="A366" s="6" t="s">
        <v>775</v>
      </c>
      <c r="B366" s="6" t="s">
        <v>776</v>
      </c>
      <c r="C366" s="6" t="s">
        <v>777</v>
      </c>
      <c r="D366" s="6" t="s">
        <v>139</v>
      </c>
      <c r="E366" s="6" t="s">
        <v>48</v>
      </c>
      <c r="F366" s="6" t="s">
        <v>61</v>
      </c>
      <c r="G366" s="6" t="s">
        <v>66</v>
      </c>
      <c r="H366" s="6" t="s">
        <v>77</v>
      </c>
      <c r="I366" s="7" t="n">
        <v>39.76</v>
      </c>
      <c r="J366" s="8" t="n">
        <v>760.2</v>
      </c>
      <c r="K366" s="7" t="n">
        <v>36.58</v>
      </c>
      <c r="L366" s="7" t="n">
        <v>27809.07</v>
      </c>
      <c r="M366" s="6" t="s">
        <v>717</v>
      </c>
    </row>
    <row r="367" customFormat="false" ht="15" hidden="false" customHeight="false" outlineLevel="0" collapsed="false">
      <c r="A367" s="6" t="s">
        <v>778</v>
      </c>
      <c r="B367" s="6" t="s">
        <v>776</v>
      </c>
      <c r="C367" s="6" t="s">
        <v>777</v>
      </c>
      <c r="D367" s="6" t="s">
        <v>139</v>
      </c>
      <c r="E367" s="6" t="s">
        <v>48</v>
      </c>
      <c r="F367" s="6" t="s">
        <v>49</v>
      </c>
      <c r="G367" s="6" t="s">
        <v>50</v>
      </c>
      <c r="H367" s="6" t="s">
        <v>55</v>
      </c>
      <c r="I367" s="7" t="n">
        <v>27.51</v>
      </c>
      <c r="J367" s="8" t="n">
        <v>1060.3</v>
      </c>
      <c r="K367" s="7" t="n">
        <v>25.42</v>
      </c>
      <c r="L367" s="7" t="n">
        <v>26952.84</v>
      </c>
      <c r="M367" s="6" t="s">
        <v>241</v>
      </c>
    </row>
    <row r="368" customFormat="false" ht="15" hidden="false" customHeight="false" outlineLevel="0" collapsed="false">
      <c r="A368" s="6" t="s">
        <v>779</v>
      </c>
      <c r="B368" s="6" t="s">
        <v>776</v>
      </c>
      <c r="C368" s="6" t="s">
        <v>777</v>
      </c>
      <c r="D368" s="6" t="s">
        <v>139</v>
      </c>
      <c r="E368" s="6" t="s">
        <v>48</v>
      </c>
      <c r="F368" s="6" t="s">
        <v>88</v>
      </c>
      <c r="G368" s="6" t="s">
        <v>66</v>
      </c>
      <c r="H368" s="6" t="s">
        <v>51</v>
      </c>
      <c r="I368" s="7" t="n">
        <v>27.9</v>
      </c>
      <c r="J368" s="8" t="n">
        <v>807.8</v>
      </c>
      <c r="K368" s="7" t="n">
        <v>24.38</v>
      </c>
      <c r="L368" s="7" t="n">
        <v>19695.29</v>
      </c>
      <c r="M368" s="6" t="s">
        <v>780</v>
      </c>
    </row>
    <row r="369" customFormat="false" ht="15" hidden="false" customHeight="false" outlineLevel="0" collapsed="false">
      <c r="A369" s="6" t="s">
        <v>781</v>
      </c>
      <c r="B369" s="6" t="s">
        <v>776</v>
      </c>
      <c r="C369" s="6" t="s">
        <v>777</v>
      </c>
      <c r="D369" s="6" t="s">
        <v>139</v>
      </c>
      <c r="E369" s="6" t="s">
        <v>48</v>
      </c>
      <c r="F369" s="6" t="s">
        <v>88</v>
      </c>
      <c r="G369" s="6" t="s">
        <v>147</v>
      </c>
      <c r="H369" s="6" t="s">
        <v>51</v>
      </c>
      <c r="I369" s="7" t="n">
        <v>28.88</v>
      </c>
      <c r="J369" s="8" t="n">
        <v>961.8</v>
      </c>
      <c r="K369" s="7" t="n">
        <v>26.06</v>
      </c>
      <c r="L369" s="7" t="n">
        <v>25063.63</v>
      </c>
      <c r="M369" s="6" t="s">
        <v>782</v>
      </c>
    </row>
    <row r="370" customFormat="false" ht="15" hidden="false" customHeight="false" outlineLevel="0" collapsed="false">
      <c r="A370" s="6" t="s">
        <v>783</v>
      </c>
      <c r="B370" s="6" t="s">
        <v>784</v>
      </c>
      <c r="C370" s="6" t="s">
        <v>785</v>
      </c>
      <c r="D370" s="6" t="s">
        <v>60</v>
      </c>
      <c r="E370" s="6" t="s">
        <v>48</v>
      </c>
      <c r="F370" s="6" t="s">
        <v>54</v>
      </c>
      <c r="G370" s="6" t="s">
        <v>147</v>
      </c>
      <c r="H370" s="6" t="s">
        <v>77</v>
      </c>
      <c r="I370" s="7" t="n">
        <v>9.66</v>
      </c>
      <c r="J370" s="8" t="n">
        <v>1489.3</v>
      </c>
      <c r="K370" s="7" t="n">
        <v>9.18</v>
      </c>
      <c r="L370" s="7" t="n">
        <v>13671.43</v>
      </c>
      <c r="M370" s="6" t="s">
        <v>131</v>
      </c>
    </row>
    <row r="371" customFormat="false" ht="15" hidden="false" customHeight="false" outlineLevel="0" collapsed="false">
      <c r="A371" s="6" t="s">
        <v>786</v>
      </c>
      <c r="B371" s="6" t="s">
        <v>784</v>
      </c>
      <c r="C371" s="6" t="s">
        <v>785</v>
      </c>
      <c r="D371" s="6" t="s">
        <v>60</v>
      </c>
      <c r="E371" s="6" t="s">
        <v>48</v>
      </c>
      <c r="F371" s="6" t="s">
        <v>65</v>
      </c>
      <c r="G371" s="6" t="s">
        <v>147</v>
      </c>
      <c r="H371" s="6" t="s">
        <v>77</v>
      </c>
      <c r="I371" s="7" t="n">
        <v>32.72</v>
      </c>
      <c r="J371" s="8" t="n">
        <v>2085.7</v>
      </c>
      <c r="K371" s="7" t="n">
        <v>31.08</v>
      </c>
      <c r="L371" s="7" t="n">
        <v>64823.94</v>
      </c>
      <c r="M371" s="6" t="s">
        <v>782</v>
      </c>
    </row>
    <row r="372" customFormat="false" ht="15" hidden="false" customHeight="false" outlineLevel="0" collapsed="false">
      <c r="A372" s="6" t="s">
        <v>787</v>
      </c>
      <c r="B372" s="6" t="s">
        <v>788</v>
      </c>
      <c r="C372" s="6" t="s">
        <v>789</v>
      </c>
      <c r="D372" s="6" t="s">
        <v>82</v>
      </c>
      <c r="E372" s="6" t="s">
        <v>48</v>
      </c>
      <c r="F372" s="6" t="s">
        <v>54</v>
      </c>
      <c r="G372" s="6" t="s">
        <v>62</v>
      </c>
      <c r="H372" s="6" t="s">
        <v>55</v>
      </c>
      <c r="I372" s="7" t="n">
        <v>9.36</v>
      </c>
      <c r="J372" s="8" t="n">
        <v>328.9</v>
      </c>
      <c r="K372" s="7" t="n">
        <v>7.37</v>
      </c>
      <c r="L372" s="7" t="n">
        <v>2424.23</v>
      </c>
      <c r="M372" s="6" t="s">
        <v>453</v>
      </c>
    </row>
    <row r="373" customFormat="false" ht="15" hidden="false" customHeight="false" outlineLevel="0" collapsed="false">
      <c r="A373" s="6" t="s">
        <v>790</v>
      </c>
      <c r="B373" s="6" t="s">
        <v>791</v>
      </c>
      <c r="C373" s="6" t="s">
        <v>792</v>
      </c>
      <c r="D373" s="6" t="s">
        <v>194</v>
      </c>
      <c r="E373" s="6" t="s">
        <v>48</v>
      </c>
      <c r="F373" s="6" t="s">
        <v>88</v>
      </c>
      <c r="G373" s="6" t="s">
        <v>50</v>
      </c>
      <c r="H373" s="6" t="s">
        <v>55</v>
      </c>
      <c r="I373" s="7" t="n">
        <v>27.73</v>
      </c>
      <c r="J373" s="8" t="n">
        <v>446.7</v>
      </c>
      <c r="K373" s="7" t="n">
        <v>25.62</v>
      </c>
      <c r="L373" s="7" t="n">
        <v>11445.46</v>
      </c>
      <c r="M373" s="6" t="s">
        <v>793</v>
      </c>
    </row>
    <row r="374" customFormat="false" ht="15" hidden="false" customHeight="false" outlineLevel="0" collapsed="false">
      <c r="A374" s="6" t="s">
        <v>794</v>
      </c>
      <c r="B374" s="6" t="s">
        <v>791</v>
      </c>
      <c r="C374" s="6" t="s">
        <v>792</v>
      </c>
      <c r="D374" s="6" t="s">
        <v>194</v>
      </c>
      <c r="E374" s="6" t="s">
        <v>48</v>
      </c>
      <c r="F374" s="6" t="s">
        <v>88</v>
      </c>
      <c r="G374" s="6" t="s">
        <v>62</v>
      </c>
      <c r="H374" s="6" t="s">
        <v>51</v>
      </c>
      <c r="I374" s="7" t="n">
        <v>27.34</v>
      </c>
      <c r="J374" s="8" t="n">
        <v>733.6</v>
      </c>
      <c r="K374" s="7" t="n">
        <v>19.48</v>
      </c>
      <c r="L374" s="7" t="n">
        <v>14291.09</v>
      </c>
      <c r="M374" s="6" t="s">
        <v>795</v>
      </c>
    </row>
    <row r="375" customFormat="false" ht="15" hidden="false" customHeight="false" outlineLevel="0" collapsed="false">
      <c r="A375" s="6" t="s">
        <v>796</v>
      </c>
      <c r="B375" s="6" t="s">
        <v>791</v>
      </c>
      <c r="C375" s="6" t="s">
        <v>792</v>
      </c>
      <c r="D375" s="6" t="s">
        <v>194</v>
      </c>
      <c r="E375" s="6" t="s">
        <v>48</v>
      </c>
      <c r="F375" s="6" t="s">
        <v>54</v>
      </c>
      <c r="G375" s="6" t="s">
        <v>62</v>
      </c>
      <c r="H375" s="6" t="s">
        <v>55</v>
      </c>
      <c r="I375" s="7" t="n">
        <v>10.91</v>
      </c>
      <c r="J375" s="8" t="n">
        <v>347.2</v>
      </c>
      <c r="K375" s="7" t="n">
        <v>8.59</v>
      </c>
      <c r="L375" s="7" t="n">
        <v>2982.56</v>
      </c>
      <c r="M375" s="6" t="s">
        <v>308</v>
      </c>
    </row>
    <row r="376" customFormat="false" ht="15" hidden="false" customHeight="false" outlineLevel="0" collapsed="false">
      <c r="A376" s="6" t="s">
        <v>797</v>
      </c>
      <c r="B376" s="6" t="s">
        <v>791</v>
      </c>
      <c r="C376" s="6" t="s">
        <v>792</v>
      </c>
      <c r="D376" s="6" t="s">
        <v>194</v>
      </c>
      <c r="E376" s="6" t="s">
        <v>48</v>
      </c>
      <c r="F376" s="6" t="s">
        <v>54</v>
      </c>
      <c r="G376" s="6" t="s">
        <v>50</v>
      </c>
      <c r="H376" s="6" t="s">
        <v>51</v>
      </c>
      <c r="I376" s="7" t="n">
        <v>10.39</v>
      </c>
      <c r="J376" s="8" t="n">
        <v>402.5</v>
      </c>
      <c r="K376" s="7" t="n">
        <v>8.68</v>
      </c>
      <c r="L376" s="7" t="n">
        <v>3493.41</v>
      </c>
      <c r="M376" s="6" t="s">
        <v>162</v>
      </c>
    </row>
    <row r="377" customFormat="false" ht="15" hidden="false" customHeight="false" outlineLevel="0" collapsed="false">
      <c r="A377" s="6" t="s">
        <v>798</v>
      </c>
      <c r="B377" s="6" t="s">
        <v>791</v>
      </c>
      <c r="C377" s="6" t="s">
        <v>792</v>
      </c>
      <c r="D377" s="6" t="s">
        <v>194</v>
      </c>
      <c r="E377" s="6" t="s">
        <v>48</v>
      </c>
      <c r="F377" s="6" t="s">
        <v>65</v>
      </c>
      <c r="G377" s="6" t="s">
        <v>147</v>
      </c>
      <c r="H377" s="6" t="s">
        <v>51</v>
      </c>
      <c r="I377" s="7" t="n">
        <v>31.85</v>
      </c>
      <c r="J377" s="8" t="n">
        <v>590</v>
      </c>
      <c r="K377" s="7" t="n">
        <v>28.74</v>
      </c>
      <c r="L377" s="7" t="n">
        <v>16956.1</v>
      </c>
      <c r="M377" s="6" t="s">
        <v>695</v>
      </c>
    </row>
    <row r="378" customFormat="false" ht="15" hidden="false" customHeight="false" outlineLevel="0" collapsed="false">
      <c r="A378" s="6" t="s">
        <v>799</v>
      </c>
      <c r="B378" s="6" t="s">
        <v>800</v>
      </c>
      <c r="C378" s="6" t="s">
        <v>801</v>
      </c>
      <c r="D378" s="6" t="s">
        <v>82</v>
      </c>
      <c r="E378" s="6" t="s">
        <v>48</v>
      </c>
      <c r="F378" s="6" t="s">
        <v>61</v>
      </c>
      <c r="G378" s="6" t="s">
        <v>50</v>
      </c>
      <c r="H378" s="6" t="s">
        <v>55</v>
      </c>
      <c r="I378" s="7" t="n">
        <v>39.81</v>
      </c>
      <c r="J378" s="8" t="n">
        <v>500</v>
      </c>
      <c r="K378" s="7" t="n">
        <v>36.78</v>
      </c>
      <c r="L378" s="7" t="n">
        <v>18390</v>
      </c>
      <c r="M378" s="6" t="s">
        <v>802</v>
      </c>
    </row>
    <row r="379" customFormat="false" ht="15" hidden="false" customHeight="false" outlineLevel="0" collapsed="false">
      <c r="A379" s="6" t="s">
        <v>803</v>
      </c>
      <c r="B379" s="6" t="s">
        <v>800</v>
      </c>
      <c r="C379" s="6" t="s">
        <v>801</v>
      </c>
      <c r="D379" s="6" t="s">
        <v>82</v>
      </c>
      <c r="E379" s="6" t="s">
        <v>48</v>
      </c>
      <c r="F379" s="6" t="s">
        <v>65</v>
      </c>
      <c r="G379" s="6" t="s">
        <v>50</v>
      </c>
      <c r="H379" s="6" t="s">
        <v>55</v>
      </c>
      <c r="I379" s="7" t="n">
        <v>31.72</v>
      </c>
      <c r="J379" s="8" t="n">
        <v>647.9</v>
      </c>
      <c r="K379" s="7" t="n">
        <v>29.31</v>
      </c>
      <c r="L379" s="7" t="n">
        <v>18990.6</v>
      </c>
      <c r="M379" s="6" t="s">
        <v>63</v>
      </c>
    </row>
    <row r="380" customFormat="false" ht="15" hidden="false" customHeight="false" outlineLevel="0" collapsed="false">
      <c r="A380" s="6" t="s">
        <v>804</v>
      </c>
      <c r="B380" s="6" t="s">
        <v>805</v>
      </c>
      <c r="C380" s="6" t="s">
        <v>806</v>
      </c>
      <c r="D380" s="6" t="s">
        <v>139</v>
      </c>
      <c r="E380" s="6" t="s">
        <v>48</v>
      </c>
      <c r="F380" s="6" t="s">
        <v>61</v>
      </c>
      <c r="G380" s="6" t="s">
        <v>62</v>
      </c>
      <c r="H380" s="6" t="s">
        <v>55</v>
      </c>
      <c r="I380" s="7" t="n">
        <v>38.39</v>
      </c>
      <c r="J380" s="8" t="n">
        <v>873.8</v>
      </c>
      <c r="K380" s="7" t="n">
        <v>30.23</v>
      </c>
      <c r="L380" s="7" t="n">
        <v>26414.49</v>
      </c>
      <c r="M380" s="6" t="s">
        <v>315</v>
      </c>
    </row>
    <row r="381" customFormat="false" ht="15" hidden="false" customHeight="false" outlineLevel="0" collapsed="false">
      <c r="A381" s="6" t="s">
        <v>807</v>
      </c>
      <c r="B381" s="6" t="s">
        <v>808</v>
      </c>
      <c r="C381" s="6" t="s">
        <v>809</v>
      </c>
      <c r="D381" s="6" t="s">
        <v>144</v>
      </c>
      <c r="E381" s="6" t="s">
        <v>48</v>
      </c>
      <c r="F381" s="6" t="s">
        <v>65</v>
      </c>
      <c r="G381" s="6" t="s">
        <v>106</v>
      </c>
      <c r="H381" s="6" t="s">
        <v>51</v>
      </c>
      <c r="I381" s="7" t="n">
        <v>32.59</v>
      </c>
      <c r="J381" s="8" t="n">
        <v>438.6</v>
      </c>
      <c r="K381" s="7" t="n">
        <v>20.13</v>
      </c>
      <c r="L381" s="7" t="n">
        <v>8828.2</v>
      </c>
      <c r="M381" s="6" t="s">
        <v>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10" min="10" style="0" width="32"/>
    <col collapsed="false" customWidth="true" hidden="false" outlineLevel="0" max="11" min="11" style="0" width="14"/>
  </cols>
  <sheetData>
    <row r="1" customFormat="false" ht="23.85" hidden="false" customHeight="false" outlineLevel="0" collapsed="false">
      <c r="A1" s="5" t="s">
        <v>32</v>
      </c>
      <c r="B1" s="5" t="s">
        <v>33</v>
      </c>
      <c r="C1" s="5" t="s">
        <v>34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J1" s="4" t="s">
        <v>815</v>
      </c>
    </row>
    <row r="2" customFormat="false" ht="15" hidden="false" customHeight="false" outlineLevel="0" collapsed="false">
      <c r="A2" s="6" t="s">
        <v>45</v>
      </c>
      <c r="B2" s="6" t="s">
        <v>46</v>
      </c>
      <c r="C2" s="6" t="s">
        <v>47</v>
      </c>
      <c r="D2" s="6" t="n">
        <f aca="false">COUNTIF(Ham_Veri!$B$2:$B$381,A2)</f>
        <v>2</v>
      </c>
      <c r="E2" s="9" t="n">
        <f aca="false">SUMIF(Ham_Veri!$B$2:$B$381,A2,Ham_Veri!$J$2:$J$381)</f>
        <v>2032.5</v>
      </c>
      <c r="F2" s="9" t="n">
        <f aca="false">IFERROR(E2/D2,0)</f>
        <v>1016.25</v>
      </c>
      <c r="G2" s="7" t="n">
        <f aca="false">IFERROR(SUMIF(Ham_Veri!$B$2:$B$381,A2,Ham_Veri!$L$2:$L$381)/E2,0)</f>
        <v>16.2600885608856</v>
      </c>
      <c r="H2" s="9" t="n">
        <f aca="false">SUMIF(Ham_Veri!$B$2:$B$381,A2,Ham_Veri!$L$2:$L$381)</f>
        <v>33048.63</v>
      </c>
      <c r="J2" s="3" t="s">
        <v>816</v>
      </c>
      <c r="K2" s="10" t="n">
        <f aca="false">MIN(E2:E61)</f>
        <v>300</v>
      </c>
    </row>
    <row r="3" customFormat="false" ht="15" hidden="false" customHeight="false" outlineLevel="0" collapsed="false">
      <c r="A3" s="6" t="s">
        <v>58</v>
      </c>
      <c r="B3" s="6" t="s">
        <v>59</v>
      </c>
      <c r="C3" s="6" t="s">
        <v>60</v>
      </c>
      <c r="D3" s="6" t="n">
        <f aca="false">COUNTIF(Ham_Veri!$B$2:$B$381,A3)</f>
        <v>2</v>
      </c>
      <c r="E3" s="9" t="n">
        <f aca="false">SUMIF(Ham_Veri!$B$2:$B$381,A3,Ham_Veri!$J$2:$J$381)</f>
        <v>800</v>
      </c>
      <c r="F3" s="9" t="n">
        <f aca="false">IFERROR(E3/D3,0)</f>
        <v>400</v>
      </c>
      <c r="G3" s="7" t="n">
        <f aca="false">IFERROR(SUMIF(Ham_Veri!$B$2:$B$381,A3,Ham_Veri!$L$2:$L$381)/E3,0)</f>
        <v>27.375</v>
      </c>
      <c r="H3" s="9" t="n">
        <f aca="false">SUMIF(Ham_Veri!$B$2:$B$381,A3,Ham_Veri!$L$2:$L$381)</f>
        <v>21900</v>
      </c>
      <c r="J3" s="3" t="s">
        <v>817</v>
      </c>
      <c r="K3" s="11" t="n">
        <f aca="false">QUARTILE(E2:E61,1)</f>
        <v>1378.75</v>
      </c>
    </row>
    <row r="4" customFormat="false" ht="15" hidden="false" customHeight="false" outlineLevel="0" collapsed="false">
      <c r="A4" s="6" t="s">
        <v>69</v>
      </c>
      <c r="B4" s="6" t="s">
        <v>70</v>
      </c>
      <c r="C4" s="6" t="s">
        <v>60</v>
      </c>
      <c r="D4" s="6" t="n">
        <f aca="false">COUNTIF(Ham_Veri!$B$2:$B$381,A4)</f>
        <v>2</v>
      </c>
      <c r="E4" s="9" t="n">
        <f aca="false">SUMIF(Ham_Veri!$B$2:$B$381,A4,Ham_Veri!$J$2:$J$381)</f>
        <v>7528.6</v>
      </c>
      <c r="F4" s="9" t="n">
        <f aca="false">IFERROR(E4/D4,0)</f>
        <v>3764.3</v>
      </c>
      <c r="G4" s="7" t="n">
        <f aca="false">IFERROR(SUMIF(Ham_Veri!$B$2:$B$381,A4,Ham_Veri!$L$2:$L$381)/E4,0)</f>
        <v>32.7162938660574</v>
      </c>
      <c r="H4" s="9" t="n">
        <f aca="false">SUMIF(Ham_Veri!$B$2:$B$381,A4,Ham_Veri!$L$2:$L$381)</f>
        <v>246307.89</v>
      </c>
      <c r="J4" s="3" t="s">
        <v>818</v>
      </c>
      <c r="K4" s="10" t="n">
        <f aca="false">QUARTILE(E2:E61,2)</f>
        <v>3582.55</v>
      </c>
    </row>
    <row r="5" customFormat="false" ht="15" hidden="false" customHeight="false" outlineLevel="0" collapsed="false">
      <c r="A5" s="6" t="s">
        <v>75</v>
      </c>
      <c r="B5" s="6" t="s">
        <v>76</v>
      </c>
      <c r="C5" s="6" t="s">
        <v>60</v>
      </c>
      <c r="D5" s="6" t="n">
        <f aca="false">COUNTIF(Ham_Veri!$B$2:$B$381,A5)</f>
        <v>1</v>
      </c>
      <c r="E5" s="9" t="n">
        <f aca="false">SUMIF(Ham_Veri!$B$2:$B$381,A5,Ham_Veri!$J$2:$J$381)</f>
        <v>1659.6</v>
      </c>
      <c r="F5" s="9" t="n">
        <f aca="false">IFERROR(E5/D5,0)</f>
        <v>1659.6</v>
      </c>
      <c r="G5" s="7" t="n">
        <f aca="false">IFERROR(SUMIF(Ham_Veri!$B$2:$B$381,A5,Ham_Veri!$L$2:$L$381)/E5,0)</f>
        <v>34.7293383947939</v>
      </c>
      <c r="H5" s="9" t="n">
        <f aca="false">SUMIF(Ham_Veri!$B$2:$B$381,A5,Ham_Veri!$L$2:$L$381)</f>
        <v>57636.81</v>
      </c>
      <c r="J5" s="3" t="s">
        <v>819</v>
      </c>
      <c r="K5" s="11" t="n">
        <f aca="false">QUARTILE(E2:E61,3)</f>
        <v>8974.7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s">
        <v>82</v>
      </c>
      <c r="D6" s="6" t="n">
        <f aca="false">COUNTIF(Ham_Veri!$B$2:$B$381,A6)</f>
        <v>1</v>
      </c>
      <c r="E6" s="9" t="n">
        <f aca="false">SUMIF(Ham_Veri!$B$2:$B$381,A6,Ham_Veri!$J$2:$J$381)</f>
        <v>761.4</v>
      </c>
      <c r="F6" s="9" t="n">
        <f aca="false">IFERROR(E6/D6,0)</f>
        <v>761.4</v>
      </c>
      <c r="G6" s="7" t="n">
        <f aca="false">IFERROR(SUMIF(Ham_Veri!$B$2:$B$381,A6,Ham_Veri!$L$2:$L$381)/E6,0)</f>
        <v>25.180378250591</v>
      </c>
      <c r="H6" s="9" t="n">
        <f aca="false">SUMIF(Ham_Veri!$B$2:$B$381,A6,Ham_Veri!$L$2:$L$381)</f>
        <v>19172.34</v>
      </c>
      <c r="J6" s="3" t="s">
        <v>820</v>
      </c>
      <c r="K6" s="10" t="n">
        <f aca="false">MAX(E2:E61)</f>
        <v>19369.5</v>
      </c>
    </row>
    <row r="7" customFormat="false" ht="15" hidden="false" customHeight="false" outlineLevel="0" collapsed="false">
      <c r="A7" s="6" t="s">
        <v>85</v>
      </c>
      <c r="B7" s="6" t="s">
        <v>86</v>
      </c>
      <c r="C7" s="6" t="s">
        <v>87</v>
      </c>
      <c r="D7" s="6" t="n">
        <f aca="false">COUNTIF(Ham_Veri!$B$2:$B$381,A7)</f>
        <v>2</v>
      </c>
      <c r="E7" s="9" t="n">
        <f aca="false">SUMIF(Ham_Veri!$B$2:$B$381,A7,Ham_Veri!$J$2:$J$381)</f>
        <v>5012.5</v>
      </c>
      <c r="F7" s="9" t="n">
        <f aca="false">IFERROR(E7/D7,0)</f>
        <v>2506.25</v>
      </c>
      <c r="G7" s="7" t="n">
        <f aca="false">IFERROR(SUMIF(Ham_Veri!$B$2:$B$381,A7,Ham_Veri!$L$2:$L$381)/E7,0)</f>
        <v>22.6352179551122</v>
      </c>
      <c r="H7" s="9" t="n">
        <f aca="false">SUMIF(Ham_Veri!$B$2:$B$381,A7,Ham_Veri!$L$2:$L$381)</f>
        <v>113459.03</v>
      </c>
      <c r="J7" s="3" t="s">
        <v>821</v>
      </c>
      <c r="K7" s="10" t="n">
        <f aca="false">AVERAGE(E2:E61)</f>
        <v>5914.20333333333</v>
      </c>
    </row>
    <row r="8" customFormat="false" ht="15" hidden="false" customHeight="false" outlineLevel="0" collapsed="false">
      <c r="A8" s="6" t="s">
        <v>93</v>
      </c>
      <c r="B8" s="6" t="s">
        <v>94</v>
      </c>
      <c r="C8" s="6" t="s">
        <v>47</v>
      </c>
      <c r="D8" s="6" t="n">
        <f aca="false">COUNTIF(Ham_Veri!$B$2:$B$381,A8)</f>
        <v>4</v>
      </c>
      <c r="E8" s="9" t="n">
        <f aca="false">SUMIF(Ham_Veri!$B$2:$B$381,A8,Ham_Veri!$J$2:$J$381)</f>
        <v>3711</v>
      </c>
      <c r="F8" s="9" t="n">
        <f aca="false">IFERROR(E8/D8,0)</f>
        <v>927.75</v>
      </c>
      <c r="G8" s="7" t="n">
        <f aca="false">IFERROR(SUMIF(Ham_Veri!$B$2:$B$381,A8,Ham_Veri!$L$2:$L$381)/E8,0)</f>
        <v>21.9178738884398</v>
      </c>
      <c r="H8" s="9" t="n">
        <f aca="false">SUMIF(Ham_Veri!$B$2:$B$381,A8,Ham_Veri!$L$2:$L$381)</f>
        <v>81337.23</v>
      </c>
    </row>
    <row r="9" customFormat="false" ht="15" hidden="false" customHeight="false" outlineLevel="0" collapsed="false">
      <c r="A9" s="6" t="s">
        <v>103</v>
      </c>
      <c r="B9" s="6" t="s">
        <v>104</v>
      </c>
      <c r="C9" s="6" t="s">
        <v>105</v>
      </c>
      <c r="D9" s="6" t="n">
        <f aca="false">COUNTIF(Ham_Veri!$B$2:$B$381,A9)</f>
        <v>8</v>
      </c>
      <c r="E9" s="9" t="n">
        <f aca="false">SUMIF(Ham_Veri!$B$2:$B$381,A9,Ham_Veri!$J$2:$J$381)</f>
        <v>6530</v>
      </c>
      <c r="F9" s="9" t="n">
        <f aca="false">IFERROR(E9/D9,0)</f>
        <v>816.25</v>
      </c>
      <c r="G9" s="7" t="n">
        <f aca="false">IFERROR(SUMIF(Ham_Veri!$B$2:$B$381,A9,Ham_Veri!$L$2:$L$381)/E9,0)</f>
        <v>24.1883614088821</v>
      </c>
      <c r="H9" s="9" t="n">
        <f aca="false">SUMIF(Ham_Veri!$B$2:$B$381,A9,Ham_Veri!$L$2:$L$381)</f>
        <v>157950</v>
      </c>
    </row>
    <row r="10" customFormat="false" ht="15" hidden="false" customHeight="true" outlineLevel="0" collapsed="false">
      <c r="A10" s="6" t="s">
        <v>123</v>
      </c>
      <c r="B10" s="6" t="s">
        <v>124</v>
      </c>
      <c r="C10" s="6" t="s">
        <v>105</v>
      </c>
      <c r="D10" s="6" t="n">
        <f aca="false">COUNTIF(Ham_Veri!$B$2:$B$381,A10)</f>
        <v>4</v>
      </c>
      <c r="E10" s="9" t="n">
        <f aca="false">SUMIF(Ham_Veri!$B$2:$B$381,A10,Ham_Veri!$J$2:$J$381)</f>
        <v>2564.6</v>
      </c>
      <c r="F10" s="9" t="n">
        <f aca="false">IFERROR(E10/D10,0)</f>
        <v>641.15</v>
      </c>
      <c r="G10" s="7" t="n">
        <f aca="false">IFERROR(SUMIF(Ham_Veri!$B$2:$B$381,A10,Ham_Veri!$L$2:$L$381)/E10,0)</f>
        <v>18.800834438119</v>
      </c>
      <c r="H10" s="9" t="n">
        <f aca="false">SUMIF(Ham_Veri!$B$2:$B$381,A10,Ham_Veri!$L$2:$L$381)</f>
        <v>48216.62</v>
      </c>
      <c r="J10" s="12" t="s">
        <v>822</v>
      </c>
      <c r="K10" s="12"/>
    </row>
    <row r="11" customFormat="false" ht="15" hidden="false" customHeight="false" outlineLevel="0" collapsed="false">
      <c r="A11" s="6" t="s">
        <v>133</v>
      </c>
      <c r="B11" s="6" t="s">
        <v>134</v>
      </c>
      <c r="C11" s="6" t="s">
        <v>60</v>
      </c>
      <c r="D11" s="6" t="n">
        <f aca="false">COUNTIF(Ham_Veri!$B$2:$B$381,A11)</f>
        <v>1</v>
      </c>
      <c r="E11" s="9" t="n">
        <f aca="false">SUMIF(Ham_Veri!$B$2:$B$381,A11,Ham_Veri!$J$2:$J$381)</f>
        <v>1455.7</v>
      </c>
      <c r="F11" s="9" t="n">
        <f aca="false">IFERROR(E11/D11,0)</f>
        <v>1455.7</v>
      </c>
      <c r="G11" s="7" t="n">
        <f aca="false">IFERROR(SUMIF(Ham_Veri!$B$2:$B$381,A11,Ham_Veri!$L$2:$L$381)/E11,0)</f>
        <v>9.04021432987566</v>
      </c>
      <c r="H11" s="9" t="n">
        <f aca="false">SUMIF(Ham_Veri!$B$2:$B$381,A11,Ham_Veri!$L$2:$L$381)</f>
        <v>13159.84</v>
      </c>
      <c r="J11" s="12"/>
      <c r="K11" s="12"/>
    </row>
    <row r="12" customFormat="false" ht="15" hidden="false" customHeight="false" outlineLevel="0" collapsed="false">
      <c r="A12" s="6" t="s">
        <v>137</v>
      </c>
      <c r="B12" s="6" t="s">
        <v>138</v>
      </c>
      <c r="C12" s="6" t="s">
        <v>139</v>
      </c>
      <c r="D12" s="6" t="n">
        <f aca="false">COUNTIF(Ham_Veri!$B$2:$B$381,A12)</f>
        <v>1</v>
      </c>
      <c r="E12" s="9" t="n">
        <f aca="false">SUMIF(Ham_Veri!$B$2:$B$381,A12,Ham_Veri!$J$2:$J$381)</f>
        <v>537.9</v>
      </c>
      <c r="F12" s="9" t="n">
        <f aca="false">IFERROR(E12/D12,0)</f>
        <v>537.9</v>
      </c>
      <c r="G12" s="7" t="n">
        <f aca="false">IFERROR(SUMIF(Ham_Veri!$B$2:$B$381,A12,Ham_Veri!$L$2:$L$381)/E12,0)</f>
        <v>30.8495817066369</v>
      </c>
      <c r="H12" s="9" t="n">
        <f aca="false">SUMIF(Ham_Veri!$B$2:$B$381,A12,Ham_Veri!$L$2:$L$381)</f>
        <v>16593.99</v>
      </c>
      <c r="J12" s="12"/>
      <c r="K12" s="12"/>
    </row>
    <row r="13" customFormat="false" ht="15" hidden="false" customHeight="false" outlineLevel="0" collapsed="false">
      <c r="A13" s="6" t="s">
        <v>142</v>
      </c>
      <c r="B13" s="6" t="s">
        <v>143</v>
      </c>
      <c r="C13" s="6" t="s">
        <v>144</v>
      </c>
      <c r="D13" s="6" t="n">
        <f aca="false">COUNTIF(Ham_Veri!$B$2:$B$381,A13)</f>
        <v>9</v>
      </c>
      <c r="E13" s="9" t="n">
        <f aca="false">SUMIF(Ham_Veri!$B$2:$B$381,A13,Ham_Veri!$J$2:$J$381)</f>
        <v>5234.1</v>
      </c>
      <c r="F13" s="9" t="n">
        <f aca="false">IFERROR(E13/D13,0)</f>
        <v>581.566666666667</v>
      </c>
      <c r="G13" s="7" t="n">
        <f aca="false">IFERROR(SUMIF(Ham_Veri!$B$2:$B$381,A13,Ham_Veri!$L$2:$L$381)/E13,0)</f>
        <v>26.9390955465123</v>
      </c>
      <c r="H13" s="9" t="n">
        <f aca="false">SUMIF(Ham_Veri!$B$2:$B$381,A13,Ham_Veri!$L$2:$L$381)</f>
        <v>141001.92</v>
      </c>
      <c r="J13" s="12"/>
      <c r="K13" s="12"/>
    </row>
    <row r="14" customFormat="false" ht="15" hidden="false" customHeight="false" outlineLevel="0" collapsed="false">
      <c r="A14" s="6" t="s">
        <v>164</v>
      </c>
      <c r="B14" s="6" t="s">
        <v>165</v>
      </c>
      <c r="C14" s="6" t="s">
        <v>166</v>
      </c>
      <c r="D14" s="6" t="n">
        <f aca="false">COUNTIF(Ham_Veri!$B$2:$B$381,A14)</f>
        <v>10</v>
      </c>
      <c r="E14" s="9" t="n">
        <f aca="false">SUMIF(Ham_Veri!$B$2:$B$381,A14,Ham_Veri!$J$2:$J$381)</f>
        <v>5656.8</v>
      </c>
      <c r="F14" s="9" t="n">
        <f aca="false">IFERROR(E14/D14,0)</f>
        <v>565.68</v>
      </c>
      <c r="G14" s="7" t="n">
        <f aca="false">IFERROR(SUMIF(Ham_Veri!$B$2:$B$381,A14,Ham_Veri!$L$2:$L$381)/E14,0)</f>
        <v>21.4835949653514</v>
      </c>
      <c r="H14" s="9" t="n">
        <f aca="false">SUMIF(Ham_Veri!$B$2:$B$381,A14,Ham_Veri!$L$2:$L$381)</f>
        <v>121528.4</v>
      </c>
      <c r="J14" s="12"/>
      <c r="K14" s="12"/>
    </row>
    <row r="15" customFormat="false" ht="15" hidden="false" customHeight="false" outlineLevel="0" collapsed="false">
      <c r="A15" s="6" t="s">
        <v>187</v>
      </c>
      <c r="B15" s="6" t="s">
        <v>188</v>
      </c>
      <c r="C15" s="6" t="s">
        <v>189</v>
      </c>
      <c r="D15" s="6" t="n">
        <f aca="false">COUNTIF(Ham_Veri!$B$2:$B$381,A15)</f>
        <v>1</v>
      </c>
      <c r="E15" s="9" t="n">
        <f aca="false">SUMIF(Ham_Veri!$B$2:$B$381,A15,Ham_Veri!$J$2:$J$381)</f>
        <v>300</v>
      </c>
      <c r="F15" s="9" t="n">
        <f aca="false">IFERROR(E15/D15,0)</f>
        <v>300</v>
      </c>
      <c r="G15" s="7" t="n">
        <f aca="false">IFERROR(SUMIF(Ham_Veri!$B$2:$B$381,A15,Ham_Veri!$L$2:$L$381)/E15,0)</f>
        <v>28.26</v>
      </c>
      <c r="H15" s="9" t="n">
        <f aca="false">SUMIF(Ham_Veri!$B$2:$B$381,A15,Ham_Veri!$L$2:$L$381)</f>
        <v>8478</v>
      </c>
    </row>
    <row r="16" customFormat="false" ht="15" hidden="false" customHeight="false" outlineLevel="0" collapsed="false">
      <c r="A16" s="6" t="s">
        <v>192</v>
      </c>
      <c r="B16" s="6" t="s">
        <v>193</v>
      </c>
      <c r="C16" s="6" t="s">
        <v>194</v>
      </c>
      <c r="D16" s="6" t="n">
        <f aca="false">COUNTIF(Ham_Veri!$B$2:$B$381,A16)</f>
        <v>8</v>
      </c>
      <c r="E16" s="9" t="n">
        <f aca="false">SUMIF(Ham_Veri!$B$2:$B$381,A16,Ham_Veri!$J$2:$J$381)</f>
        <v>11921.5</v>
      </c>
      <c r="F16" s="9" t="n">
        <f aca="false">IFERROR(E16/D16,0)</f>
        <v>1490.1875</v>
      </c>
      <c r="G16" s="7" t="n">
        <f aca="false">IFERROR(SUMIF(Ham_Veri!$B$2:$B$381,A16,Ham_Veri!$L$2:$L$381)/E16,0)</f>
        <v>23.1236337709181</v>
      </c>
      <c r="H16" s="9" t="n">
        <f aca="false">SUMIF(Ham_Veri!$B$2:$B$381,A16,Ham_Veri!$L$2:$L$381)</f>
        <v>275668.4</v>
      </c>
    </row>
    <row r="17" customFormat="false" ht="15" hidden="false" customHeight="false" outlineLevel="0" collapsed="false">
      <c r="A17" s="6" t="s">
        <v>210</v>
      </c>
      <c r="B17" s="6" t="s">
        <v>211</v>
      </c>
      <c r="C17" s="6" t="s">
        <v>194</v>
      </c>
      <c r="D17" s="6" t="n">
        <f aca="false">COUNTIF(Ham_Veri!$B$2:$B$381,A17)</f>
        <v>1</v>
      </c>
      <c r="E17" s="9" t="n">
        <f aca="false">SUMIF(Ham_Veri!$B$2:$B$381,A17,Ham_Veri!$J$2:$J$381)</f>
        <v>2161.9</v>
      </c>
      <c r="F17" s="9" t="n">
        <f aca="false">IFERROR(E17/D17,0)</f>
        <v>2161.9</v>
      </c>
      <c r="G17" s="7" t="n">
        <f aca="false">IFERROR(SUMIF(Ham_Veri!$B$2:$B$381,A17,Ham_Veri!$L$2:$L$381)/E17,0)</f>
        <v>24.6694342939081</v>
      </c>
      <c r="H17" s="9" t="n">
        <f aca="false">SUMIF(Ham_Veri!$B$2:$B$381,A17,Ham_Veri!$L$2:$L$381)</f>
        <v>53332.85</v>
      </c>
    </row>
    <row r="18" customFormat="false" ht="15" hidden="false" customHeight="false" outlineLevel="0" collapsed="false">
      <c r="A18" s="6" t="s">
        <v>214</v>
      </c>
      <c r="B18" s="6" t="s">
        <v>215</v>
      </c>
      <c r="C18" s="6" t="s">
        <v>194</v>
      </c>
      <c r="D18" s="6" t="n">
        <f aca="false">COUNTIF(Ham_Veri!$B$2:$B$381,A18)</f>
        <v>22</v>
      </c>
      <c r="E18" s="9" t="n">
        <f aca="false">SUMIF(Ham_Veri!$B$2:$B$381,A18,Ham_Veri!$J$2:$J$381)</f>
        <v>19369.5</v>
      </c>
      <c r="F18" s="9" t="n">
        <f aca="false">IFERROR(E18/D18,0)</f>
        <v>880.431818181818</v>
      </c>
      <c r="G18" s="7" t="n">
        <f aca="false">IFERROR(SUMIF(Ham_Veri!$B$2:$B$381,A18,Ham_Veri!$L$2:$L$381)/E18,0)</f>
        <v>22.38141820904</v>
      </c>
      <c r="H18" s="9" t="n">
        <f aca="false">SUMIF(Ham_Veri!$B$2:$B$381,A18,Ham_Veri!$L$2:$L$381)</f>
        <v>433516.88</v>
      </c>
    </row>
    <row r="19" customFormat="false" ht="15" hidden="false" customHeight="false" outlineLevel="0" collapsed="false">
      <c r="A19" s="6" t="s">
        <v>255</v>
      </c>
      <c r="B19" s="6" t="s">
        <v>256</v>
      </c>
      <c r="C19" s="6" t="s">
        <v>144</v>
      </c>
      <c r="D19" s="6" t="n">
        <f aca="false">COUNTIF(Ham_Veri!$B$2:$B$381,A19)</f>
        <v>11</v>
      </c>
      <c r="E19" s="9" t="n">
        <f aca="false">SUMIF(Ham_Veri!$B$2:$B$381,A19,Ham_Veri!$J$2:$J$381)</f>
        <v>11593.4</v>
      </c>
      <c r="F19" s="9" t="n">
        <f aca="false">IFERROR(E19/D19,0)</f>
        <v>1053.94545454545</v>
      </c>
      <c r="G19" s="7" t="n">
        <f aca="false">IFERROR(SUMIF(Ham_Veri!$B$2:$B$381,A19,Ham_Veri!$L$2:$L$381)/E19,0)</f>
        <v>26.8534804285197</v>
      </c>
      <c r="H19" s="9" t="n">
        <f aca="false">SUMIF(Ham_Veri!$B$2:$B$381,A19,Ham_Veri!$L$2:$L$381)</f>
        <v>311323.14</v>
      </c>
    </row>
    <row r="20" customFormat="false" ht="15" hidden="false" customHeight="false" outlineLevel="0" collapsed="false">
      <c r="A20" s="6" t="s">
        <v>275</v>
      </c>
      <c r="B20" s="6" t="s">
        <v>276</v>
      </c>
      <c r="C20" s="6" t="s">
        <v>139</v>
      </c>
      <c r="D20" s="6" t="n">
        <f aca="false">COUNTIF(Ham_Veri!$B$2:$B$381,A20)</f>
        <v>4</v>
      </c>
      <c r="E20" s="9" t="n">
        <f aca="false">SUMIF(Ham_Veri!$B$2:$B$381,A20,Ham_Veri!$J$2:$J$381)</f>
        <v>3133.9</v>
      </c>
      <c r="F20" s="9" t="n">
        <f aca="false">IFERROR(E20/D20,0)</f>
        <v>783.475</v>
      </c>
      <c r="G20" s="7" t="n">
        <f aca="false">IFERROR(SUMIF(Ham_Veri!$B$2:$B$381,A20,Ham_Veri!$L$2:$L$381)/E20,0)</f>
        <v>22.1123998851272</v>
      </c>
      <c r="H20" s="9" t="n">
        <f aca="false">SUMIF(Ham_Veri!$B$2:$B$381,A20,Ham_Veri!$L$2:$L$381)</f>
        <v>69298.05</v>
      </c>
    </row>
    <row r="21" customFormat="false" ht="15" hidden="false" customHeight="false" outlineLevel="0" collapsed="false">
      <c r="A21" s="6" t="s">
        <v>284</v>
      </c>
      <c r="B21" s="6" t="s">
        <v>285</v>
      </c>
      <c r="C21" s="6" t="s">
        <v>60</v>
      </c>
      <c r="D21" s="6" t="n">
        <f aca="false">COUNTIF(Ham_Veri!$B$2:$B$381,A21)</f>
        <v>1</v>
      </c>
      <c r="E21" s="9" t="n">
        <f aca="false">SUMIF(Ham_Veri!$B$2:$B$381,A21,Ham_Veri!$J$2:$J$381)</f>
        <v>3000</v>
      </c>
      <c r="F21" s="9" t="n">
        <f aca="false">IFERROR(E21/D21,0)</f>
        <v>3000</v>
      </c>
      <c r="G21" s="7" t="n">
        <f aca="false">IFERROR(SUMIF(Ham_Veri!$B$2:$B$381,A21,Ham_Veri!$L$2:$L$381)/E21,0)</f>
        <v>10.11</v>
      </c>
      <c r="H21" s="9" t="n">
        <f aca="false">SUMIF(Ham_Veri!$B$2:$B$381,A21,Ham_Veri!$L$2:$L$381)</f>
        <v>30330</v>
      </c>
    </row>
    <row r="22" customFormat="false" ht="15" hidden="false" customHeight="false" outlineLevel="0" collapsed="false">
      <c r="A22" s="6" t="s">
        <v>287</v>
      </c>
      <c r="B22" s="6" t="s">
        <v>288</v>
      </c>
      <c r="C22" s="6" t="s">
        <v>194</v>
      </c>
      <c r="D22" s="6" t="n">
        <f aca="false">COUNTIF(Ham_Veri!$B$2:$B$381,A22)</f>
        <v>3</v>
      </c>
      <c r="E22" s="9" t="n">
        <f aca="false">SUMIF(Ham_Veri!$B$2:$B$381,A22,Ham_Veri!$J$2:$J$381)</f>
        <v>2760.3</v>
      </c>
      <c r="F22" s="9" t="n">
        <f aca="false">IFERROR(E22/D22,0)</f>
        <v>920.1</v>
      </c>
      <c r="G22" s="7" t="n">
        <f aca="false">IFERROR(SUMIF(Ham_Veri!$B$2:$B$381,A22,Ham_Veri!$L$2:$L$381)/E22,0)</f>
        <v>23.935782342499</v>
      </c>
      <c r="H22" s="9" t="n">
        <f aca="false">SUMIF(Ham_Veri!$B$2:$B$381,A22,Ham_Veri!$L$2:$L$381)</f>
        <v>66069.94</v>
      </c>
    </row>
    <row r="23" customFormat="false" ht="15" hidden="false" customHeight="false" outlineLevel="0" collapsed="false">
      <c r="A23" s="6" t="s">
        <v>295</v>
      </c>
      <c r="B23" s="6" t="s">
        <v>296</v>
      </c>
      <c r="C23" s="6" t="s">
        <v>87</v>
      </c>
      <c r="D23" s="6" t="n">
        <f aca="false">COUNTIF(Ham_Veri!$B$2:$B$381,A23)</f>
        <v>1</v>
      </c>
      <c r="E23" s="9" t="n">
        <f aca="false">SUMIF(Ham_Veri!$B$2:$B$381,A23,Ham_Veri!$J$2:$J$381)</f>
        <v>414.1</v>
      </c>
      <c r="F23" s="9" t="n">
        <f aca="false">IFERROR(E23/D23,0)</f>
        <v>414.1</v>
      </c>
      <c r="G23" s="7" t="n">
        <f aca="false">IFERROR(SUMIF(Ham_Veri!$B$2:$B$381,A23,Ham_Veri!$L$2:$L$381)/E23,0)</f>
        <v>27.3574498913306</v>
      </c>
      <c r="H23" s="9" t="n">
        <f aca="false">SUMIF(Ham_Veri!$B$2:$B$381,A23,Ham_Veri!$L$2:$L$381)</f>
        <v>11328.72</v>
      </c>
    </row>
    <row r="24" customFormat="false" ht="15" hidden="false" customHeight="false" outlineLevel="0" collapsed="false">
      <c r="A24" s="6" t="s">
        <v>299</v>
      </c>
      <c r="B24" s="6" t="s">
        <v>300</v>
      </c>
      <c r="C24" s="6" t="s">
        <v>82</v>
      </c>
      <c r="D24" s="6" t="n">
        <f aca="false">COUNTIF(Ham_Veri!$B$2:$B$381,A24)</f>
        <v>1</v>
      </c>
      <c r="E24" s="9" t="n">
        <f aca="false">SUMIF(Ham_Veri!$B$2:$B$381,A24,Ham_Veri!$J$2:$J$381)</f>
        <v>910.3</v>
      </c>
      <c r="F24" s="9" t="n">
        <f aca="false">IFERROR(E24/D24,0)</f>
        <v>910.3</v>
      </c>
      <c r="G24" s="7" t="n">
        <f aca="false">IFERROR(SUMIF(Ham_Veri!$B$2:$B$381,A24,Ham_Veri!$L$2:$L$381)/E24,0)</f>
        <v>7.4601779633088</v>
      </c>
      <c r="H24" s="9" t="n">
        <f aca="false">SUMIF(Ham_Veri!$B$2:$B$381,A24,Ham_Veri!$L$2:$L$381)</f>
        <v>6791</v>
      </c>
    </row>
    <row r="25" customFormat="false" ht="15" hidden="false" customHeight="false" outlineLevel="0" collapsed="false">
      <c r="A25" s="6" t="s">
        <v>302</v>
      </c>
      <c r="B25" s="6" t="s">
        <v>303</v>
      </c>
      <c r="C25" s="6" t="s">
        <v>139</v>
      </c>
      <c r="D25" s="6" t="n">
        <f aca="false">COUNTIF(Ham_Veri!$B$2:$B$381,A25)</f>
        <v>1</v>
      </c>
      <c r="E25" s="9" t="n">
        <f aca="false">SUMIF(Ham_Veri!$B$2:$B$381,A25,Ham_Veri!$J$2:$J$381)</f>
        <v>317.9</v>
      </c>
      <c r="F25" s="9" t="n">
        <f aca="false">IFERROR(E25/D25,0)</f>
        <v>317.9</v>
      </c>
      <c r="G25" s="7" t="n">
        <f aca="false">IFERROR(SUMIF(Ham_Veri!$B$2:$B$381,A25,Ham_Veri!$L$2:$L$381)/E25,0)</f>
        <v>27.5206354199434</v>
      </c>
      <c r="H25" s="9" t="n">
        <f aca="false">SUMIF(Ham_Veri!$B$2:$B$381,A25,Ham_Veri!$L$2:$L$381)</f>
        <v>8748.81</v>
      </c>
    </row>
    <row r="26" customFormat="false" ht="15" hidden="false" customHeight="false" outlineLevel="0" collapsed="false">
      <c r="A26" s="6" t="s">
        <v>305</v>
      </c>
      <c r="B26" s="6" t="s">
        <v>306</v>
      </c>
      <c r="C26" s="6" t="s">
        <v>189</v>
      </c>
      <c r="D26" s="6" t="n">
        <f aca="false">COUNTIF(Ham_Veri!$B$2:$B$381,A26)</f>
        <v>2</v>
      </c>
      <c r="E26" s="9" t="n">
        <f aca="false">SUMIF(Ham_Veri!$B$2:$B$381,A26,Ham_Veri!$J$2:$J$381)</f>
        <v>1616.4</v>
      </c>
      <c r="F26" s="9" t="n">
        <f aca="false">IFERROR(E26/D26,0)</f>
        <v>808.2</v>
      </c>
      <c r="G26" s="7" t="n">
        <f aca="false">IFERROR(SUMIF(Ham_Veri!$B$2:$B$381,A26,Ham_Veri!$L$2:$L$381)/E26,0)</f>
        <v>24.5199826775551</v>
      </c>
      <c r="H26" s="9" t="n">
        <f aca="false">SUMIF(Ham_Veri!$B$2:$B$381,A26,Ham_Veri!$L$2:$L$381)</f>
        <v>39634.1</v>
      </c>
    </row>
    <row r="27" customFormat="false" ht="15" hidden="false" customHeight="false" outlineLevel="0" collapsed="false">
      <c r="A27" s="6" t="s">
        <v>310</v>
      </c>
      <c r="B27" s="6" t="s">
        <v>311</v>
      </c>
      <c r="C27" s="6" t="s">
        <v>144</v>
      </c>
      <c r="D27" s="6" t="n">
        <f aca="false">COUNTIF(Ham_Veri!$B$2:$B$381,A27)</f>
        <v>10</v>
      </c>
      <c r="E27" s="9" t="n">
        <f aca="false">SUMIF(Ham_Veri!$B$2:$B$381,A27,Ham_Veri!$J$2:$J$381)</f>
        <v>10263.6</v>
      </c>
      <c r="F27" s="9" t="n">
        <f aca="false">IFERROR(E27/D27,0)</f>
        <v>1026.36</v>
      </c>
      <c r="G27" s="7" t="n">
        <f aca="false">IFERROR(SUMIF(Ham_Veri!$B$2:$B$381,A27,Ham_Veri!$L$2:$L$381)/E27,0)</f>
        <v>21.045350559258</v>
      </c>
      <c r="H27" s="9" t="n">
        <f aca="false">SUMIF(Ham_Veri!$B$2:$B$381,A27,Ham_Veri!$L$2:$L$381)</f>
        <v>216001.06</v>
      </c>
    </row>
    <row r="28" customFormat="false" ht="15" hidden="false" customHeight="false" outlineLevel="0" collapsed="false">
      <c r="A28" s="6" t="s">
        <v>327</v>
      </c>
      <c r="B28" s="6" t="s">
        <v>328</v>
      </c>
      <c r="C28" s="6" t="s">
        <v>144</v>
      </c>
      <c r="D28" s="6" t="n">
        <f aca="false">COUNTIF(Ham_Veri!$B$2:$B$381,A28)</f>
        <v>8</v>
      </c>
      <c r="E28" s="9" t="n">
        <f aca="false">SUMIF(Ham_Veri!$B$2:$B$381,A28,Ham_Veri!$J$2:$J$381)</f>
        <v>5985.5</v>
      </c>
      <c r="F28" s="9" t="n">
        <f aca="false">IFERROR(E28/D28,0)</f>
        <v>748.1875</v>
      </c>
      <c r="G28" s="7" t="n">
        <f aca="false">IFERROR(SUMIF(Ham_Veri!$B$2:$B$381,A28,Ham_Veri!$L$2:$L$381)/E28,0)</f>
        <v>22.4927758750313</v>
      </c>
      <c r="H28" s="9" t="n">
        <f aca="false">SUMIF(Ham_Veri!$B$2:$B$381,A28,Ham_Veri!$L$2:$L$381)</f>
        <v>134630.51</v>
      </c>
    </row>
    <row r="29" customFormat="false" ht="15" hidden="false" customHeight="false" outlineLevel="0" collapsed="false">
      <c r="A29" s="6" t="s">
        <v>342</v>
      </c>
      <c r="B29" s="6" t="s">
        <v>343</v>
      </c>
      <c r="C29" s="6" t="s">
        <v>87</v>
      </c>
      <c r="D29" s="6" t="n">
        <f aca="false">COUNTIF(Ham_Veri!$B$2:$B$381,A29)</f>
        <v>1</v>
      </c>
      <c r="E29" s="9" t="n">
        <f aca="false">SUMIF(Ham_Veri!$B$2:$B$381,A29,Ham_Veri!$J$2:$J$381)</f>
        <v>542.4</v>
      </c>
      <c r="F29" s="9" t="n">
        <f aca="false">IFERROR(E29/D29,0)</f>
        <v>542.4</v>
      </c>
      <c r="G29" s="7" t="n">
        <f aca="false">IFERROR(SUMIF(Ham_Veri!$B$2:$B$381,A29,Ham_Veri!$L$2:$L$381)/E29,0)</f>
        <v>36.9273598820059</v>
      </c>
      <c r="H29" s="9" t="n">
        <f aca="false">SUMIF(Ham_Veri!$B$2:$B$381,A29,Ham_Veri!$L$2:$L$381)</f>
        <v>20029.4</v>
      </c>
    </row>
    <row r="30" customFormat="false" ht="15" hidden="false" customHeight="false" outlineLevel="0" collapsed="false">
      <c r="A30" s="6" t="s">
        <v>346</v>
      </c>
      <c r="B30" s="6" t="s">
        <v>347</v>
      </c>
      <c r="C30" s="6" t="s">
        <v>166</v>
      </c>
      <c r="D30" s="6" t="n">
        <f aca="false">COUNTIF(Ham_Veri!$B$2:$B$381,A30)</f>
        <v>4</v>
      </c>
      <c r="E30" s="9" t="n">
        <f aca="false">SUMIF(Ham_Veri!$B$2:$B$381,A30,Ham_Veri!$J$2:$J$381)</f>
        <v>4864</v>
      </c>
      <c r="F30" s="9" t="n">
        <f aca="false">IFERROR(E30/D30,0)</f>
        <v>1216</v>
      </c>
      <c r="G30" s="7" t="n">
        <f aca="false">IFERROR(SUMIF(Ham_Veri!$B$2:$B$381,A30,Ham_Veri!$L$2:$L$381)/E30,0)</f>
        <v>26.6302693256579</v>
      </c>
      <c r="H30" s="9" t="n">
        <f aca="false">SUMIF(Ham_Veri!$B$2:$B$381,A30,Ham_Veri!$L$2:$L$381)</f>
        <v>129529.63</v>
      </c>
    </row>
    <row r="31" customFormat="false" ht="15" hidden="false" customHeight="false" outlineLevel="0" collapsed="false">
      <c r="A31" s="6" t="s">
        <v>355</v>
      </c>
      <c r="B31" s="6" t="s">
        <v>356</v>
      </c>
      <c r="C31" s="6" t="s">
        <v>194</v>
      </c>
      <c r="D31" s="6" t="n">
        <f aca="false">COUNTIF(Ham_Veri!$B$2:$B$381,A31)</f>
        <v>11</v>
      </c>
      <c r="E31" s="9" t="n">
        <f aca="false">SUMIF(Ham_Veri!$B$2:$B$381,A31,Ham_Veri!$J$2:$J$381)</f>
        <v>12332.1</v>
      </c>
      <c r="F31" s="9" t="n">
        <f aca="false">IFERROR(E31/D31,0)</f>
        <v>1121.1</v>
      </c>
      <c r="G31" s="7" t="n">
        <f aca="false">IFERROR(SUMIF(Ham_Veri!$B$2:$B$381,A31,Ham_Veri!$L$2:$L$381)/E31,0)</f>
        <v>22.6247638277341</v>
      </c>
      <c r="H31" s="9" t="n">
        <f aca="false">SUMIF(Ham_Veri!$B$2:$B$381,A31,Ham_Veri!$L$2:$L$381)</f>
        <v>279010.85</v>
      </c>
    </row>
    <row r="32" customFormat="false" ht="15" hidden="false" customHeight="false" outlineLevel="0" collapsed="false">
      <c r="A32" s="6" t="s">
        <v>376</v>
      </c>
      <c r="B32" s="6" t="s">
        <v>377</v>
      </c>
      <c r="C32" s="6" t="s">
        <v>144</v>
      </c>
      <c r="D32" s="6" t="n">
        <f aca="false">COUNTIF(Ham_Veri!$B$2:$B$381,A32)</f>
        <v>8</v>
      </c>
      <c r="E32" s="9" t="n">
        <f aca="false">SUMIF(Ham_Veri!$B$2:$B$381,A32,Ham_Veri!$J$2:$J$381)</f>
        <v>8425.5</v>
      </c>
      <c r="F32" s="9" t="n">
        <f aca="false">IFERROR(E32/D32,0)</f>
        <v>1053.1875</v>
      </c>
      <c r="G32" s="7" t="n">
        <f aca="false">IFERROR(SUMIF(Ham_Veri!$B$2:$B$381,A32,Ham_Veri!$L$2:$L$381)/E32,0)</f>
        <v>29.08144323779</v>
      </c>
      <c r="H32" s="9" t="n">
        <f aca="false">SUMIF(Ham_Veri!$B$2:$B$381,A32,Ham_Veri!$L$2:$L$381)</f>
        <v>245025.7</v>
      </c>
    </row>
    <row r="33" customFormat="false" ht="15" hidden="false" customHeight="false" outlineLevel="0" collapsed="false">
      <c r="A33" s="6" t="s">
        <v>391</v>
      </c>
      <c r="B33" s="6" t="s">
        <v>392</v>
      </c>
      <c r="C33" s="6" t="s">
        <v>60</v>
      </c>
      <c r="D33" s="6" t="n">
        <f aca="false">COUNTIF(Ham_Veri!$B$2:$B$381,A33)</f>
        <v>1</v>
      </c>
      <c r="E33" s="9" t="n">
        <f aca="false">SUMIF(Ham_Veri!$B$2:$B$381,A33,Ham_Veri!$J$2:$J$381)</f>
        <v>527.1</v>
      </c>
      <c r="F33" s="9" t="n">
        <f aca="false">IFERROR(E33/D33,0)</f>
        <v>527.1</v>
      </c>
      <c r="G33" s="7" t="n">
        <f aca="false">IFERROR(SUMIF(Ham_Veri!$B$2:$B$381,A33,Ham_Veri!$L$2:$L$381)/E33,0)</f>
        <v>26.1401062416999</v>
      </c>
      <c r="H33" s="9" t="n">
        <f aca="false">SUMIF(Ham_Veri!$B$2:$B$381,A33,Ham_Veri!$L$2:$L$381)</f>
        <v>13778.45</v>
      </c>
    </row>
    <row r="34" customFormat="false" ht="15" hidden="false" customHeight="false" outlineLevel="0" collapsed="false">
      <c r="A34" s="6" t="s">
        <v>395</v>
      </c>
      <c r="B34" s="6" t="s">
        <v>396</v>
      </c>
      <c r="C34" s="6" t="s">
        <v>166</v>
      </c>
      <c r="D34" s="6" t="n">
        <f aca="false">COUNTIF(Ham_Veri!$B$2:$B$381,A34)</f>
        <v>1</v>
      </c>
      <c r="E34" s="9" t="n">
        <f aca="false">SUMIF(Ham_Veri!$B$2:$B$381,A34,Ham_Veri!$J$2:$J$381)</f>
        <v>547.5</v>
      </c>
      <c r="F34" s="9" t="n">
        <f aca="false">IFERROR(E34/D34,0)</f>
        <v>547.5</v>
      </c>
      <c r="G34" s="7" t="n">
        <f aca="false">IFERROR(SUMIF(Ham_Veri!$B$2:$B$381,A34,Ham_Veri!$L$2:$L$381)/E34,0)</f>
        <v>17.2896073059361</v>
      </c>
      <c r="H34" s="9" t="n">
        <f aca="false">SUMIF(Ham_Veri!$B$2:$B$381,A34,Ham_Veri!$L$2:$L$381)</f>
        <v>9466.06</v>
      </c>
    </row>
    <row r="35" customFormat="false" ht="15" hidden="false" customHeight="false" outlineLevel="0" collapsed="false">
      <c r="A35" s="6" t="s">
        <v>399</v>
      </c>
      <c r="B35" s="6" t="s">
        <v>400</v>
      </c>
      <c r="C35" s="6" t="s">
        <v>189</v>
      </c>
      <c r="D35" s="6" t="n">
        <f aca="false">COUNTIF(Ham_Veri!$B$2:$B$381,A35)</f>
        <v>3</v>
      </c>
      <c r="E35" s="9" t="n">
        <f aca="false">SUMIF(Ham_Veri!$B$2:$B$381,A35,Ham_Veri!$J$2:$J$381)</f>
        <v>2700.7</v>
      </c>
      <c r="F35" s="9" t="n">
        <f aca="false">IFERROR(E35/D35,0)</f>
        <v>900.233333333333</v>
      </c>
      <c r="G35" s="7" t="n">
        <f aca="false">IFERROR(SUMIF(Ham_Veri!$B$2:$B$381,A35,Ham_Veri!$L$2:$L$381)/E35,0)</f>
        <v>18.2261117488059</v>
      </c>
      <c r="H35" s="9" t="n">
        <f aca="false">SUMIF(Ham_Veri!$B$2:$B$381,A35,Ham_Veri!$L$2:$L$381)</f>
        <v>49223.26</v>
      </c>
    </row>
    <row r="36" customFormat="false" ht="15" hidden="false" customHeight="false" outlineLevel="0" collapsed="false">
      <c r="A36" s="6" t="s">
        <v>406</v>
      </c>
      <c r="B36" s="6" t="s">
        <v>407</v>
      </c>
      <c r="C36" s="6" t="s">
        <v>87</v>
      </c>
      <c r="D36" s="6" t="n">
        <f aca="false">COUNTIF(Ham_Veri!$B$2:$B$381,A36)</f>
        <v>18</v>
      </c>
      <c r="E36" s="9" t="n">
        <f aca="false">SUMIF(Ham_Veri!$B$2:$B$381,A36,Ham_Veri!$J$2:$J$381)</f>
        <v>13524.5</v>
      </c>
      <c r="F36" s="9" t="n">
        <f aca="false">IFERROR(E36/D36,0)</f>
        <v>751.361111111111</v>
      </c>
      <c r="G36" s="7" t="n">
        <f aca="false">IFERROR(SUMIF(Ham_Veri!$B$2:$B$381,A36,Ham_Veri!$L$2:$L$381)/E36,0)</f>
        <v>26.8266871233687</v>
      </c>
      <c r="H36" s="9" t="n">
        <f aca="false">SUMIF(Ham_Veri!$B$2:$B$381,A36,Ham_Veri!$L$2:$L$381)</f>
        <v>362817.53</v>
      </c>
    </row>
    <row r="37" customFormat="false" ht="15" hidden="false" customHeight="false" outlineLevel="0" collapsed="false">
      <c r="A37" s="6" t="s">
        <v>435</v>
      </c>
      <c r="B37" s="6" t="s">
        <v>436</v>
      </c>
      <c r="C37" s="6" t="s">
        <v>60</v>
      </c>
      <c r="D37" s="6" t="n">
        <f aca="false">COUNTIF(Ham_Veri!$B$2:$B$381,A37)</f>
        <v>9</v>
      </c>
      <c r="E37" s="9" t="n">
        <f aca="false">SUMIF(Ham_Veri!$B$2:$B$381,A37,Ham_Veri!$J$2:$J$381)</f>
        <v>5850.2</v>
      </c>
      <c r="F37" s="9" t="n">
        <f aca="false">IFERROR(E37/D37,0)</f>
        <v>650.022222222222</v>
      </c>
      <c r="G37" s="7" t="n">
        <f aca="false">IFERROR(SUMIF(Ham_Veri!$B$2:$B$381,A37,Ham_Veri!$L$2:$L$381)/E37,0)</f>
        <v>22.4497162490171</v>
      </c>
      <c r="H37" s="9" t="n">
        <f aca="false">SUMIF(Ham_Veri!$B$2:$B$381,A37,Ham_Veri!$L$2:$L$381)</f>
        <v>131335.33</v>
      </c>
    </row>
    <row r="38" customFormat="false" ht="15" hidden="false" customHeight="false" outlineLevel="0" collapsed="false">
      <c r="A38" s="6" t="s">
        <v>455</v>
      </c>
      <c r="B38" s="6" t="s">
        <v>456</v>
      </c>
      <c r="C38" s="6" t="s">
        <v>47</v>
      </c>
      <c r="D38" s="6" t="n">
        <f aca="false">COUNTIF(Ham_Veri!$B$2:$B$381,A38)</f>
        <v>4</v>
      </c>
      <c r="E38" s="9" t="n">
        <f aca="false">SUMIF(Ham_Veri!$B$2:$B$381,A38,Ham_Veri!$J$2:$J$381)</f>
        <v>3419.6</v>
      </c>
      <c r="F38" s="9" t="n">
        <f aca="false">IFERROR(E38/D38,0)</f>
        <v>854.9</v>
      </c>
      <c r="G38" s="7" t="n">
        <f aca="false">IFERROR(SUMIF(Ham_Veri!$B$2:$B$381,A38,Ham_Veri!$L$2:$L$381)/E38,0)</f>
        <v>29.2305737513159</v>
      </c>
      <c r="H38" s="9" t="n">
        <f aca="false">SUMIF(Ham_Veri!$B$2:$B$381,A38,Ham_Veri!$L$2:$L$381)</f>
        <v>99956.87</v>
      </c>
    </row>
    <row r="39" customFormat="false" ht="15" hidden="false" customHeight="false" outlineLevel="0" collapsed="false">
      <c r="A39" s="6" t="s">
        <v>464</v>
      </c>
      <c r="B39" s="6" t="s">
        <v>465</v>
      </c>
      <c r="C39" s="6" t="s">
        <v>47</v>
      </c>
      <c r="D39" s="6" t="n">
        <f aca="false">COUNTIF(Ham_Veri!$B$2:$B$381,A39)</f>
        <v>12</v>
      </c>
      <c r="E39" s="9" t="n">
        <f aca="false">SUMIF(Ham_Veri!$B$2:$B$381,A39,Ham_Veri!$J$2:$J$381)</f>
        <v>8897.2</v>
      </c>
      <c r="F39" s="9" t="n">
        <f aca="false">IFERROR(E39/D39,0)</f>
        <v>741.433333333333</v>
      </c>
      <c r="G39" s="7" t="n">
        <f aca="false">IFERROR(SUMIF(Ham_Veri!$B$2:$B$381,A39,Ham_Veri!$L$2:$L$381)/E39,0)</f>
        <v>25.648348918761</v>
      </c>
      <c r="H39" s="9" t="n">
        <f aca="false">SUMIF(Ham_Veri!$B$2:$B$381,A39,Ham_Veri!$L$2:$L$381)</f>
        <v>228198.49</v>
      </c>
    </row>
    <row r="40" customFormat="false" ht="15" hidden="false" customHeight="false" outlineLevel="0" collapsed="false">
      <c r="A40" s="6" t="s">
        <v>485</v>
      </c>
      <c r="B40" s="6" t="s">
        <v>486</v>
      </c>
      <c r="C40" s="6" t="s">
        <v>47</v>
      </c>
      <c r="D40" s="6" t="n">
        <f aca="false">COUNTIF(Ham_Veri!$B$2:$B$381,A40)</f>
        <v>3</v>
      </c>
      <c r="E40" s="9" t="n">
        <f aca="false">SUMIF(Ham_Veri!$B$2:$B$381,A40,Ham_Veri!$J$2:$J$381)</f>
        <v>3942.4</v>
      </c>
      <c r="F40" s="9" t="n">
        <f aca="false">IFERROR(E40/D40,0)</f>
        <v>1314.13333333333</v>
      </c>
      <c r="G40" s="7" t="n">
        <f aca="false">IFERROR(SUMIF(Ham_Veri!$B$2:$B$381,A40,Ham_Veri!$L$2:$L$381)/E40,0)</f>
        <v>22.8198711444805</v>
      </c>
      <c r="H40" s="9" t="n">
        <f aca="false">SUMIF(Ham_Veri!$B$2:$B$381,A40,Ham_Veri!$L$2:$L$381)</f>
        <v>89965.06</v>
      </c>
    </row>
    <row r="41" customFormat="false" ht="15" hidden="false" customHeight="false" outlineLevel="0" collapsed="false">
      <c r="A41" s="6" t="s">
        <v>493</v>
      </c>
      <c r="B41" s="6" t="s">
        <v>494</v>
      </c>
      <c r="C41" s="6" t="s">
        <v>87</v>
      </c>
      <c r="D41" s="6" t="n">
        <f aca="false">COUNTIF(Ham_Veri!$B$2:$B$381,A41)</f>
        <v>20</v>
      </c>
      <c r="E41" s="9" t="n">
        <f aca="false">SUMIF(Ham_Veri!$B$2:$B$381,A41,Ham_Veri!$J$2:$J$381)</f>
        <v>18968.2</v>
      </c>
      <c r="F41" s="9" t="n">
        <f aca="false">IFERROR(E41/D41,0)</f>
        <v>948.41</v>
      </c>
      <c r="G41" s="7" t="n">
        <f aca="false">IFERROR(SUMIF(Ham_Veri!$B$2:$B$381,A41,Ham_Veri!$L$2:$L$381)/E41,0)</f>
        <v>20.8636533777586</v>
      </c>
      <c r="H41" s="9" t="n">
        <f aca="false">SUMIF(Ham_Veri!$B$2:$B$381,A41,Ham_Veri!$L$2:$L$381)</f>
        <v>395745.95</v>
      </c>
    </row>
    <row r="42" customFormat="false" ht="15" hidden="false" customHeight="false" outlineLevel="0" collapsed="false">
      <c r="A42" s="6" t="s">
        <v>526</v>
      </c>
      <c r="B42" s="6" t="s">
        <v>527</v>
      </c>
      <c r="C42" s="6" t="s">
        <v>47</v>
      </c>
      <c r="D42" s="6" t="n">
        <f aca="false">COUNTIF(Ham_Veri!$B$2:$B$381,A42)</f>
        <v>20</v>
      </c>
      <c r="E42" s="9" t="n">
        <f aca="false">SUMIF(Ham_Veri!$B$2:$B$381,A42,Ham_Veri!$J$2:$J$381)</f>
        <v>17185.1</v>
      </c>
      <c r="F42" s="9" t="n">
        <f aca="false">IFERROR(E42/D42,0)</f>
        <v>859.255</v>
      </c>
      <c r="G42" s="7" t="n">
        <f aca="false">IFERROR(SUMIF(Ham_Veri!$B$2:$B$381,A42,Ham_Veri!$L$2:$L$381)/E42,0)</f>
        <v>24.7477838359975</v>
      </c>
      <c r="H42" s="9" t="n">
        <f aca="false">SUMIF(Ham_Veri!$B$2:$B$381,A42,Ham_Veri!$L$2:$L$381)</f>
        <v>425293.14</v>
      </c>
    </row>
    <row r="43" customFormat="false" ht="15" hidden="false" customHeight="false" outlineLevel="0" collapsed="false">
      <c r="A43" s="6" t="s">
        <v>561</v>
      </c>
      <c r="B43" s="6" t="s">
        <v>562</v>
      </c>
      <c r="C43" s="6" t="s">
        <v>194</v>
      </c>
      <c r="D43" s="6" t="n">
        <f aca="false">COUNTIF(Ham_Veri!$B$2:$B$381,A43)</f>
        <v>17</v>
      </c>
      <c r="E43" s="9" t="n">
        <f aca="false">SUMIF(Ham_Veri!$B$2:$B$381,A43,Ham_Veri!$J$2:$J$381)</f>
        <v>12998.9</v>
      </c>
      <c r="F43" s="9" t="n">
        <f aca="false">IFERROR(E43/D43,0)</f>
        <v>764.641176470588</v>
      </c>
      <c r="G43" s="7" t="n">
        <f aca="false">IFERROR(SUMIF(Ham_Veri!$B$2:$B$381,A43,Ham_Veri!$L$2:$L$381)/E43,0)</f>
        <v>23.8091792382432</v>
      </c>
      <c r="H43" s="9" t="n">
        <f aca="false">SUMIF(Ham_Veri!$B$2:$B$381,A43,Ham_Veri!$L$2:$L$381)</f>
        <v>309493.14</v>
      </c>
    </row>
    <row r="44" customFormat="false" ht="15" hidden="false" customHeight="false" outlineLevel="0" collapsed="false">
      <c r="A44" s="6" t="s">
        <v>588</v>
      </c>
      <c r="B44" s="6" t="s">
        <v>589</v>
      </c>
      <c r="C44" s="6" t="s">
        <v>87</v>
      </c>
      <c r="D44" s="6" t="n">
        <f aca="false">COUNTIF(Ham_Veri!$B$2:$B$381,A44)</f>
        <v>1</v>
      </c>
      <c r="E44" s="9" t="n">
        <f aca="false">SUMIF(Ham_Veri!$B$2:$B$381,A44,Ham_Veri!$J$2:$J$381)</f>
        <v>1472.8</v>
      </c>
      <c r="F44" s="9" t="n">
        <f aca="false">IFERROR(E44/D44,0)</f>
        <v>1472.8</v>
      </c>
      <c r="G44" s="7" t="n">
        <f aca="false">IFERROR(SUMIF(Ham_Veri!$B$2:$B$381,A44,Ham_Veri!$L$2:$L$381)/E44,0)</f>
        <v>19.3300787615426</v>
      </c>
      <c r="H44" s="9" t="n">
        <f aca="false">SUMIF(Ham_Veri!$B$2:$B$381,A44,Ham_Veri!$L$2:$L$381)</f>
        <v>28469.34</v>
      </c>
    </row>
    <row r="45" customFormat="false" ht="15" hidden="false" customHeight="false" outlineLevel="0" collapsed="false">
      <c r="A45" s="6" t="s">
        <v>592</v>
      </c>
      <c r="B45" s="6" t="s">
        <v>593</v>
      </c>
      <c r="C45" s="6" t="s">
        <v>82</v>
      </c>
      <c r="D45" s="6" t="n">
        <f aca="false">COUNTIF(Ham_Veri!$B$2:$B$381,A45)</f>
        <v>18</v>
      </c>
      <c r="E45" s="9" t="n">
        <f aca="false">SUMIF(Ham_Veri!$B$2:$B$381,A45,Ham_Veri!$J$2:$J$381)</f>
        <v>18812.2</v>
      </c>
      <c r="F45" s="9" t="n">
        <f aca="false">IFERROR(E45/D45,0)</f>
        <v>1045.12222222222</v>
      </c>
      <c r="G45" s="7" t="n">
        <f aca="false">IFERROR(SUMIF(Ham_Veri!$B$2:$B$381,A45,Ham_Veri!$L$2:$L$381)/E45,0)</f>
        <v>24.9228027556586</v>
      </c>
      <c r="H45" s="9" t="n">
        <f aca="false">SUMIF(Ham_Veri!$B$2:$B$381,A45,Ham_Veri!$L$2:$L$381)</f>
        <v>468852.75</v>
      </c>
    </row>
    <row r="46" customFormat="false" ht="15" hidden="false" customHeight="false" outlineLevel="0" collapsed="false">
      <c r="A46" s="6" t="s">
        <v>624</v>
      </c>
      <c r="B46" s="6" t="s">
        <v>625</v>
      </c>
      <c r="C46" s="6" t="s">
        <v>60</v>
      </c>
      <c r="D46" s="6" t="n">
        <f aca="false">COUNTIF(Ham_Veri!$B$2:$B$381,A46)</f>
        <v>3</v>
      </c>
      <c r="E46" s="9" t="n">
        <f aca="false">SUMIF(Ham_Veri!$B$2:$B$381,A46,Ham_Veri!$J$2:$J$381)</f>
        <v>3000</v>
      </c>
      <c r="F46" s="9" t="n">
        <f aca="false">IFERROR(E46/D46,0)</f>
        <v>1000</v>
      </c>
      <c r="G46" s="7" t="n">
        <f aca="false">IFERROR(SUMIF(Ham_Veri!$B$2:$B$381,A46,Ham_Veri!$L$2:$L$381)/E46,0)</f>
        <v>26.81857</v>
      </c>
      <c r="H46" s="9" t="n">
        <f aca="false">SUMIF(Ham_Veri!$B$2:$B$381,A46,Ham_Veri!$L$2:$L$381)</f>
        <v>80455.71</v>
      </c>
    </row>
    <row r="47" customFormat="false" ht="15" hidden="false" customHeight="false" outlineLevel="0" collapsed="false">
      <c r="A47" s="6" t="s">
        <v>629</v>
      </c>
      <c r="B47" s="6" t="s">
        <v>630</v>
      </c>
      <c r="C47" s="6" t="s">
        <v>47</v>
      </c>
      <c r="D47" s="6" t="n">
        <f aca="false">COUNTIF(Ham_Veri!$B$2:$B$381,A47)</f>
        <v>17</v>
      </c>
      <c r="E47" s="9" t="n">
        <f aca="false">SUMIF(Ham_Veri!$B$2:$B$381,A47,Ham_Veri!$J$2:$J$381)</f>
        <v>17333.2</v>
      </c>
      <c r="F47" s="9" t="n">
        <f aca="false">IFERROR(E47/D47,0)</f>
        <v>1019.6</v>
      </c>
      <c r="G47" s="7" t="n">
        <f aca="false">IFERROR(SUMIF(Ham_Veri!$B$2:$B$381,A47,Ham_Veri!$L$2:$L$381)/E47,0)</f>
        <v>21.574007107747</v>
      </c>
      <c r="H47" s="9" t="n">
        <f aca="false">SUMIF(Ham_Veri!$B$2:$B$381,A47,Ham_Veri!$L$2:$L$381)</f>
        <v>373946.58</v>
      </c>
    </row>
    <row r="48" customFormat="false" ht="15" hidden="false" customHeight="false" outlineLevel="0" collapsed="false">
      <c r="A48" s="6" t="s">
        <v>659</v>
      </c>
      <c r="B48" s="6" t="s">
        <v>660</v>
      </c>
      <c r="C48" s="6" t="s">
        <v>189</v>
      </c>
      <c r="D48" s="6" t="n">
        <f aca="false">COUNTIF(Ham_Veri!$B$2:$B$381,A48)</f>
        <v>2</v>
      </c>
      <c r="E48" s="9" t="n">
        <f aca="false">SUMIF(Ham_Veri!$B$2:$B$381,A48,Ham_Veri!$J$2:$J$381)</f>
        <v>800</v>
      </c>
      <c r="F48" s="9" t="n">
        <f aca="false">IFERROR(E48/D48,0)</f>
        <v>400</v>
      </c>
      <c r="G48" s="7" t="n">
        <f aca="false">IFERROR(SUMIF(Ham_Veri!$B$2:$B$381,A48,Ham_Veri!$L$2:$L$381)/E48,0)</f>
        <v>33.83</v>
      </c>
      <c r="H48" s="9" t="n">
        <f aca="false">SUMIF(Ham_Veri!$B$2:$B$381,A48,Ham_Veri!$L$2:$L$381)</f>
        <v>27064</v>
      </c>
    </row>
    <row r="49" customFormat="false" ht="15" hidden="false" customHeight="false" outlineLevel="0" collapsed="false">
      <c r="A49" s="6" t="s">
        <v>663</v>
      </c>
      <c r="B49" s="6" t="s">
        <v>664</v>
      </c>
      <c r="C49" s="6" t="s">
        <v>144</v>
      </c>
      <c r="D49" s="6" t="n">
        <f aca="false">COUNTIF(Ham_Veri!$B$2:$B$381,A49)</f>
        <v>8</v>
      </c>
      <c r="E49" s="9" t="n">
        <f aca="false">SUMIF(Ham_Veri!$B$2:$B$381,A49,Ham_Veri!$J$2:$J$381)</f>
        <v>6468.5</v>
      </c>
      <c r="F49" s="9" t="n">
        <f aca="false">IFERROR(E49/D49,0)</f>
        <v>808.5625</v>
      </c>
      <c r="G49" s="7" t="n">
        <f aca="false">IFERROR(SUMIF(Ham_Veri!$B$2:$B$381,A49,Ham_Veri!$L$2:$L$381)/E49,0)</f>
        <v>29.6002179794388</v>
      </c>
      <c r="H49" s="9" t="n">
        <f aca="false">SUMIF(Ham_Veri!$B$2:$B$381,A49,Ham_Veri!$L$2:$L$381)</f>
        <v>191469.01</v>
      </c>
    </row>
    <row r="50" customFormat="false" ht="15" hidden="false" customHeight="false" outlineLevel="0" collapsed="false">
      <c r="A50" s="6" t="s">
        <v>676</v>
      </c>
      <c r="B50" s="6" t="s">
        <v>677</v>
      </c>
      <c r="C50" s="6" t="s">
        <v>87</v>
      </c>
      <c r="D50" s="6" t="n">
        <f aca="false">COUNTIF(Ham_Veri!$B$2:$B$381,A50)</f>
        <v>20</v>
      </c>
      <c r="E50" s="9" t="n">
        <f aca="false">SUMIF(Ham_Veri!$B$2:$B$381,A50,Ham_Veri!$J$2:$J$381)</f>
        <v>18128</v>
      </c>
      <c r="F50" s="9" t="n">
        <f aca="false">IFERROR(E50/D50,0)</f>
        <v>906.4</v>
      </c>
      <c r="G50" s="7" t="n">
        <f aca="false">IFERROR(SUMIF(Ham_Veri!$B$2:$B$381,A50,Ham_Veri!$L$2:$L$381)/E50,0)</f>
        <v>23.3858925419241</v>
      </c>
      <c r="H50" s="9" t="n">
        <f aca="false">SUMIF(Ham_Veri!$B$2:$B$381,A50,Ham_Veri!$L$2:$L$381)</f>
        <v>423939.46</v>
      </c>
    </row>
    <row r="51" customFormat="false" ht="15" hidden="false" customHeight="false" outlineLevel="0" collapsed="false">
      <c r="A51" s="6" t="s">
        <v>711</v>
      </c>
      <c r="B51" s="6" t="s">
        <v>712</v>
      </c>
      <c r="C51" s="6" t="s">
        <v>144</v>
      </c>
      <c r="D51" s="6" t="n">
        <f aca="false">COUNTIF(Ham_Veri!$B$2:$B$381,A51)</f>
        <v>7</v>
      </c>
      <c r="E51" s="9" t="n">
        <f aca="false">SUMIF(Ham_Veri!$B$2:$B$381,A51,Ham_Veri!$J$2:$J$381)</f>
        <v>7443.6</v>
      </c>
      <c r="F51" s="9" t="n">
        <f aca="false">IFERROR(E51/D51,0)</f>
        <v>1063.37142857143</v>
      </c>
      <c r="G51" s="7" t="n">
        <f aca="false">IFERROR(SUMIF(Ham_Veri!$B$2:$B$381,A51,Ham_Veri!$L$2:$L$381)/E51,0)</f>
        <v>26.8310468053093</v>
      </c>
      <c r="H51" s="9" t="n">
        <f aca="false">SUMIF(Ham_Veri!$B$2:$B$381,A51,Ham_Veri!$L$2:$L$381)</f>
        <v>199719.58</v>
      </c>
    </row>
    <row r="52" customFormat="false" ht="15" hidden="false" customHeight="false" outlineLevel="0" collapsed="false">
      <c r="A52" s="6" t="s">
        <v>722</v>
      </c>
      <c r="B52" s="6" t="s">
        <v>723</v>
      </c>
      <c r="C52" s="6" t="s">
        <v>87</v>
      </c>
      <c r="D52" s="6" t="n">
        <f aca="false">COUNTIF(Ham_Veri!$B$2:$B$381,A52)</f>
        <v>8</v>
      </c>
      <c r="E52" s="9" t="n">
        <f aca="false">SUMIF(Ham_Veri!$B$2:$B$381,A52,Ham_Veri!$J$2:$J$381)</f>
        <v>9207.2</v>
      </c>
      <c r="F52" s="9" t="n">
        <f aca="false">IFERROR(E52/D52,0)</f>
        <v>1150.9</v>
      </c>
      <c r="G52" s="7" t="n">
        <f aca="false">IFERROR(SUMIF(Ham_Veri!$B$2:$B$381,A52,Ham_Veri!$L$2:$L$381)/E52,0)</f>
        <v>20.490030628204</v>
      </c>
      <c r="H52" s="9" t="n">
        <f aca="false">SUMIF(Ham_Veri!$B$2:$B$381,A52,Ham_Veri!$L$2:$L$381)</f>
        <v>188655.81</v>
      </c>
    </row>
    <row r="53" customFormat="false" ht="15" hidden="false" customHeight="false" outlineLevel="0" collapsed="false">
      <c r="A53" s="6" t="s">
        <v>735</v>
      </c>
      <c r="B53" s="6" t="s">
        <v>736</v>
      </c>
      <c r="C53" s="6" t="s">
        <v>194</v>
      </c>
      <c r="D53" s="6" t="n">
        <f aca="false">COUNTIF(Ham_Veri!$B$2:$B$381,A53)</f>
        <v>11</v>
      </c>
      <c r="E53" s="9" t="n">
        <f aca="false">SUMIF(Ham_Veri!$B$2:$B$381,A53,Ham_Veri!$J$2:$J$381)</f>
        <v>11742.4</v>
      </c>
      <c r="F53" s="9" t="n">
        <f aca="false">IFERROR(E53/D53,0)</f>
        <v>1067.49090909091</v>
      </c>
      <c r="G53" s="7" t="n">
        <f aca="false">IFERROR(SUMIF(Ham_Veri!$B$2:$B$381,A53,Ham_Veri!$L$2:$L$381)/E53,0)</f>
        <v>27.3529005995367</v>
      </c>
      <c r="H53" s="9" t="n">
        <f aca="false">SUMIF(Ham_Veri!$B$2:$B$381,A53,Ham_Veri!$L$2:$L$381)</f>
        <v>321188.7</v>
      </c>
    </row>
    <row r="54" customFormat="false" ht="15" hidden="false" customHeight="false" outlineLevel="0" collapsed="false">
      <c r="A54" s="6" t="s">
        <v>752</v>
      </c>
      <c r="B54" s="6" t="s">
        <v>753</v>
      </c>
      <c r="C54" s="6" t="s">
        <v>194</v>
      </c>
      <c r="D54" s="6" t="n">
        <f aca="false">COUNTIF(Ham_Veri!$B$2:$B$381,A54)</f>
        <v>16</v>
      </c>
      <c r="E54" s="9" t="n">
        <f aca="false">SUMIF(Ham_Veri!$B$2:$B$381,A54,Ham_Veri!$J$2:$J$381)</f>
        <v>16011.6</v>
      </c>
      <c r="F54" s="9" t="n">
        <f aca="false">IFERROR(E54/D54,0)</f>
        <v>1000.725</v>
      </c>
      <c r="G54" s="7" t="n">
        <f aca="false">IFERROR(SUMIF(Ham_Veri!$B$2:$B$381,A54,Ham_Veri!$L$2:$L$381)/E54,0)</f>
        <v>20.7514820505134</v>
      </c>
      <c r="H54" s="9" t="n">
        <f aca="false">SUMIF(Ham_Veri!$B$2:$B$381,A54,Ham_Veri!$L$2:$L$381)</f>
        <v>332264.43</v>
      </c>
    </row>
    <row r="55" customFormat="false" ht="15" hidden="false" customHeight="false" outlineLevel="0" collapsed="false">
      <c r="A55" s="6" t="s">
        <v>776</v>
      </c>
      <c r="B55" s="6" t="s">
        <v>777</v>
      </c>
      <c r="C55" s="6" t="s">
        <v>139</v>
      </c>
      <c r="D55" s="6" t="n">
        <f aca="false">COUNTIF(Ham_Veri!$B$2:$B$381,A55)</f>
        <v>4</v>
      </c>
      <c r="E55" s="9" t="n">
        <f aca="false">SUMIF(Ham_Veri!$B$2:$B$381,A55,Ham_Veri!$J$2:$J$381)</f>
        <v>3590.1</v>
      </c>
      <c r="F55" s="9" t="n">
        <f aca="false">IFERROR(E55/D55,0)</f>
        <v>897.525</v>
      </c>
      <c r="G55" s="7" t="n">
        <f aca="false">IFERROR(SUMIF(Ham_Veri!$B$2:$B$381,A55,Ham_Veri!$L$2:$L$381)/E55,0)</f>
        <v>27.7209074956129</v>
      </c>
      <c r="H55" s="9" t="n">
        <f aca="false">SUMIF(Ham_Veri!$B$2:$B$381,A55,Ham_Veri!$L$2:$L$381)</f>
        <v>99520.83</v>
      </c>
    </row>
    <row r="56" customFormat="false" ht="15" hidden="false" customHeight="false" outlineLevel="0" collapsed="false">
      <c r="A56" s="6" t="s">
        <v>784</v>
      </c>
      <c r="B56" s="6" t="s">
        <v>785</v>
      </c>
      <c r="C56" s="6" t="s">
        <v>60</v>
      </c>
      <c r="D56" s="6" t="n">
        <f aca="false">COUNTIF(Ham_Veri!$B$2:$B$381,A56)</f>
        <v>2</v>
      </c>
      <c r="E56" s="9" t="n">
        <f aca="false">SUMIF(Ham_Veri!$B$2:$B$381,A56,Ham_Veri!$J$2:$J$381)</f>
        <v>3575</v>
      </c>
      <c r="F56" s="9" t="n">
        <f aca="false">IFERROR(E56/D56,0)</f>
        <v>1787.5</v>
      </c>
      <c r="G56" s="7" t="n">
        <f aca="false">IFERROR(SUMIF(Ham_Veri!$B$2:$B$381,A56,Ham_Veri!$L$2:$L$381)/E56,0)</f>
        <v>21.9567468531469</v>
      </c>
      <c r="H56" s="9" t="n">
        <f aca="false">SUMIF(Ham_Veri!$B$2:$B$381,A56,Ham_Veri!$L$2:$L$381)</f>
        <v>78495.37</v>
      </c>
    </row>
    <row r="57" customFormat="false" ht="15" hidden="false" customHeight="false" outlineLevel="0" collapsed="false">
      <c r="A57" s="6" t="s">
        <v>788</v>
      </c>
      <c r="B57" s="6" t="s">
        <v>789</v>
      </c>
      <c r="C57" s="6" t="s">
        <v>82</v>
      </c>
      <c r="D57" s="6" t="n">
        <f aca="false">COUNTIF(Ham_Veri!$B$2:$B$381,A57)</f>
        <v>1</v>
      </c>
      <c r="E57" s="9" t="n">
        <f aca="false">SUMIF(Ham_Veri!$B$2:$B$381,A57,Ham_Veri!$J$2:$J$381)</f>
        <v>328.9</v>
      </c>
      <c r="F57" s="9" t="n">
        <f aca="false">IFERROR(E57/D57,0)</f>
        <v>328.9</v>
      </c>
      <c r="G57" s="7" t="n">
        <f aca="false">IFERROR(SUMIF(Ham_Veri!$B$2:$B$381,A57,Ham_Veri!$L$2:$L$381)/E57,0)</f>
        <v>7.37072058376406</v>
      </c>
      <c r="H57" s="9" t="n">
        <f aca="false">SUMIF(Ham_Veri!$B$2:$B$381,A57,Ham_Veri!$L$2:$L$381)</f>
        <v>2424.23</v>
      </c>
    </row>
    <row r="58" customFormat="false" ht="15" hidden="false" customHeight="false" outlineLevel="0" collapsed="false">
      <c r="A58" s="6" t="s">
        <v>791</v>
      </c>
      <c r="B58" s="6" t="s">
        <v>792</v>
      </c>
      <c r="C58" s="6" t="s">
        <v>194</v>
      </c>
      <c r="D58" s="6" t="n">
        <f aca="false">COUNTIF(Ham_Veri!$B$2:$B$381,A58)</f>
        <v>5</v>
      </c>
      <c r="E58" s="9" t="n">
        <f aca="false">SUMIF(Ham_Veri!$B$2:$B$381,A58,Ham_Veri!$J$2:$J$381)</f>
        <v>2520</v>
      </c>
      <c r="F58" s="9" t="n">
        <f aca="false">IFERROR(E58/D58,0)</f>
        <v>504</v>
      </c>
      <c r="G58" s="7" t="n">
        <f aca="false">IFERROR(SUMIF(Ham_Veri!$B$2:$B$381,A58,Ham_Veri!$L$2:$L$381)/E58,0)</f>
        <v>19.5113571428571</v>
      </c>
      <c r="H58" s="9" t="n">
        <f aca="false">SUMIF(Ham_Veri!$B$2:$B$381,A58,Ham_Veri!$L$2:$L$381)</f>
        <v>49168.62</v>
      </c>
    </row>
    <row r="59" customFormat="false" ht="15" hidden="false" customHeight="false" outlineLevel="0" collapsed="false">
      <c r="A59" s="6" t="s">
        <v>800</v>
      </c>
      <c r="B59" s="6" t="s">
        <v>801</v>
      </c>
      <c r="C59" s="6" t="s">
        <v>82</v>
      </c>
      <c r="D59" s="6" t="n">
        <f aca="false">COUNTIF(Ham_Veri!$B$2:$B$381,A59)</f>
        <v>2</v>
      </c>
      <c r="E59" s="9" t="n">
        <f aca="false">SUMIF(Ham_Veri!$B$2:$B$381,A59,Ham_Veri!$J$2:$J$381)</f>
        <v>1147.9</v>
      </c>
      <c r="F59" s="9" t="n">
        <f aca="false">IFERROR(E59/D59,0)</f>
        <v>573.95</v>
      </c>
      <c r="G59" s="7" t="n">
        <f aca="false">IFERROR(SUMIF(Ham_Veri!$B$2:$B$381,A59,Ham_Veri!$L$2:$L$381)/E59,0)</f>
        <v>32.5643348723756</v>
      </c>
      <c r="H59" s="9" t="n">
        <f aca="false">SUMIF(Ham_Veri!$B$2:$B$381,A59,Ham_Veri!$L$2:$L$381)</f>
        <v>37380.6</v>
      </c>
    </row>
    <row r="60" customFormat="false" ht="15" hidden="false" customHeight="false" outlineLevel="0" collapsed="false">
      <c r="A60" s="6" t="s">
        <v>805</v>
      </c>
      <c r="B60" s="6" t="s">
        <v>806</v>
      </c>
      <c r="C60" s="6" t="s">
        <v>139</v>
      </c>
      <c r="D60" s="6" t="n">
        <f aca="false">COUNTIF(Ham_Veri!$B$2:$B$381,A60)</f>
        <v>1</v>
      </c>
      <c r="E60" s="9" t="n">
        <f aca="false">SUMIF(Ham_Veri!$B$2:$B$381,A60,Ham_Veri!$J$2:$J$381)</f>
        <v>873.8</v>
      </c>
      <c r="F60" s="9" t="n">
        <f aca="false">IFERROR(E60/D60,0)</f>
        <v>873.8</v>
      </c>
      <c r="G60" s="7" t="n">
        <f aca="false">IFERROR(SUMIF(Ham_Veri!$B$2:$B$381,A60,Ham_Veri!$L$2:$L$381)/E60,0)</f>
        <v>30.2294460975052</v>
      </c>
      <c r="H60" s="9" t="n">
        <f aca="false">SUMIF(Ham_Veri!$B$2:$B$381,A60,Ham_Veri!$L$2:$L$381)</f>
        <v>26414.49</v>
      </c>
    </row>
    <row r="61" customFormat="false" ht="15" hidden="false" customHeight="false" outlineLevel="0" collapsed="false">
      <c r="A61" s="6" t="s">
        <v>808</v>
      </c>
      <c r="B61" s="6" t="s">
        <v>809</v>
      </c>
      <c r="C61" s="6" t="s">
        <v>144</v>
      </c>
      <c r="D61" s="6" t="n">
        <f aca="false">COUNTIF(Ham_Veri!$B$2:$B$381,A61)</f>
        <v>1</v>
      </c>
      <c r="E61" s="9" t="n">
        <f aca="false">SUMIF(Ham_Veri!$B$2:$B$381,A61,Ham_Veri!$J$2:$J$381)</f>
        <v>438.6</v>
      </c>
      <c r="F61" s="9" t="n">
        <f aca="false">IFERROR(E61/D61,0)</f>
        <v>438.6</v>
      </c>
      <c r="G61" s="7" t="n">
        <f aca="false">IFERROR(SUMIF(Ham_Veri!$B$2:$B$381,A61,Ham_Veri!$L$2:$L$381)/E61,0)</f>
        <v>20.1281349749202</v>
      </c>
      <c r="H61" s="9" t="n">
        <f aca="false">SUMIF(Ham_Veri!$B$2:$B$381,A61,Ham_Veri!$L$2:$L$381)</f>
        <v>8828.2</v>
      </c>
    </row>
  </sheetData>
  <mergeCells count="1">
    <mergeCell ref="J10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3" t="s">
        <v>823</v>
      </c>
      <c r="B1" s="13"/>
      <c r="C1" s="13"/>
      <c r="D1" s="13"/>
      <c r="E1" s="13"/>
      <c r="F1" s="13"/>
      <c r="G1" s="13"/>
      <c r="H1" s="13"/>
    </row>
    <row r="3" customFormat="false" ht="23.85" hidden="false" customHeight="false" outlineLevel="0" collapsed="false">
      <c r="A3" s="5" t="s">
        <v>32</v>
      </c>
      <c r="B3" s="5" t="s">
        <v>33</v>
      </c>
      <c r="C3" s="5" t="s">
        <v>34</v>
      </c>
      <c r="D3" s="5" t="s">
        <v>810</v>
      </c>
      <c r="E3" s="5" t="s">
        <v>811</v>
      </c>
      <c r="F3" s="5" t="s">
        <v>824</v>
      </c>
      <c r="G3" s="5" t="s">
        <v>814</v>
      </c>
      <c r="H3" s="5" t="s">
        <v>825</v>
      </c>
    </row>
    <row r="4" customFormat="false" ht="15" hidden="false" customHeight="false" outlineLevel="0" collapsed="false">
      <c r="A4" s="6" t="str">
        <f aca="false">Firma_Ozeti!A39</f>
        <v>F-1038</v>
      </c>
      <c r="B4" s="6" t="str">
        <f aca="false">Firma_Ozeti!B39</f>
        <v>Firma 1038 San. Tic. Ltd. Şti.</v>
      </c>
      <c r="C4" s="6" t="str">
        <f aca="false">Firma_Ozeti!C39</f>
        <v>Gaziantep</v>
      </c>
      <c r="D4" s="6" t="n">
        <f aca="false">Firma_Ozeti!D39</f>
        <v>12</v>
      </c>
      <c r="E4" s="9" t="n">
        <f aca="false">Firma_Ozeti!E39</f>
        <v>8897.2</v>
      </c>
      <c r="F4" s="7" t="n">
        <f aca="false">Firma_Ozeti!G39</f>
        <v>25.648348918761</v>
      </c>
      <c r="G4" s="9" t="n">
        <f aca="false">Firma_Ozeti!H39</f>
        <v>228198.49</v>
      </c>
      <c r="H4" s="14" t="s">
        <v>826</v>
      </c>
    </row>
    <row r="5" customFormat="false" ht="15" hidden="false" customHeight="false" outlineLevel="0" collapsed="false">
      <c r="A5" s="6" t="str">
        <f aca="false">Firma_Ozeti!A32</f>
        <v>F-1031</v>
      </c>
      <c r="B5" s="6" t="str">
        <f aca="false">Firma_Ozeti!B32</f>
        <v>Firma 1031 San. Tic. Ltd. Şti.</v>
      </c>
      <c r="C5" s="6" t="str">
        <f aca="false">Firma_Ozeti!C32</f>
        <v>Manisa</v>
      </c>
      <c r="D5" s="6" t="n">
        <f aca="false">Firma_Ozeti!D32</f>
        <v>8</v>
      </c>
      <c r="E5" s="9" t="n">
        <f aca="false">Firma_Ozeti!E32</f>
        <v>8425.5</v>
      </c>
      <c r="F5" s="7" t="n">
        <f aca="false">Firma_Ozeti!G32</f>
        <v>29.08144323779</v>
      </c>
      <c r="G5" s="9" t="n">
        <f aca="false">Firma_Ozeti!H32</f>
        <v>245025.7</v>
      </c>
      <c r="H5" s="14" t="s">
        <v>826</v>
      </c>
    </row>
    <row r="6" customFormat="false" ht="15" hidden="false" customHeight="false" outlineLevel="0" collapsed="false">
      <c r="A6" s="6" t="str">
        <f aca="false">Firma_Ozeti!A4</f>
        <v>F-1003</v>
      </c>
      <c r="B6" s="6" t="str">
        <f aca="false">Firma_Ozeti!B4</f>
        <v>Firma 1003 San. Tic. Ltd. Şti.</v>
      </c>
      <c r="C6" s="6" t="str">
        <f aca="false">Firma_Ozeti!C4</f>
        <v>İstanbul</v>
      </c>
      <c r="D6" s="6" t="n">
        <f aca="false">Firma_Ozeti!D4</f>
        <v>2</v>
      </c>
      <c r="E6" s="9" t="n">
        <f aca="false">Firma_Ozeti!E4</f>
        <v>7528.6</v>
      </c>
      <c r="F6" s="7" t="n">
        <f aca="false">Firma_Ozeti!G4</f>
        <v>32.7162938660574</v>
      </c>
      <c r="G6" s="9" t="n">
        <f aca="false">Firma_Ozeti!H4</f>
        <v>246307.89</v>
      </c>
      <c r="H6" s="14" t="s">
        <v>826</v>
      </c>
    </row>
    <row r="7" customFormat="false" ht="15" hidden="false" customHeight="false" outlineLevel="0" collapsed="false">
      <c r="A7" s="6" t="str">
        <f aca="false">Firma_Ozeti!A51</f>
        <v>F-1050</v>
      </c>
      <c r="B7" s="6" t="str">
        <f aca="false">Firma_Ozeti!B51</f>
        <v>Firma 1050 San. Tic. Ltd. Şti.</v>
      </c>
      <c r="C7" s="6" t="str">
        <f aca="false">Firma_Ozeti!C51</f>
        <v>Manisa</v>
      </c>
      <c r="D7" s="6" t="n">
        <f aca="false">Firma_Ozeti!D51</f>
        <v>7</v>
      </c>
      <c r="E7" s="9" t="n">
        <f aca="false">Firma_Ozeti!E51</f>
        <v>7443.6</v>
      </c>
      <c r="F7" s="7" t="n">
        <f aca="false">Firma_Ozeti!G51</f>
        <v>26.8310468053093</v>
      </c>
      <c r="G7" s="9" t="n">
        <f aca="false">Firma_Ozeti!H51</f>
        <v>199719.58</v>
      </c>
      <c r="H7" s="14" t="s">
        <v>826</v>
      </c>
    </row>
    <row r="8" customFormat="false" ht="15" hidden="false" customHeight="false" outlineLevel="0" collapsed="false">
      <c r="A8" s="6" t="str">
        <f aca="false">Firma_Ozeti!A9</f>
        <v>F-1008</v>
      </c>
      <c r="B8" s="6" t="str">
        <f aca="false">Firma_Ozeti!B9</f>
        <v>Firma 1008 San. Tic. Ltd. Şti.</v>
      </c>
      <c r="C8" s="6" t="str">
        <f aca="false">Firma_Ozeti!C9</f>
        <v>Bursa</v>
      </c>
      <c r="D8" s="6" t="n">
        <f aca="false">Firma_Ozeti!D9</f>
        <v>8</v>
      </c>
      <c r="E8" s="9" t="n">
        <f aca="false">Firma_Ozeti!E9</f>
        <v>6530</v>
      </c>
      <c r="F8" s="7" t="n">
        <f aca="false">Firma_Ozeti!G9</f>
        <v>24.1883614088821</v>
      </c>
      <c r="G8" s="9" t="n">
        <f aca="false">Firma_Ozeti!H9</f>
        <v>157950</v>
      </c>
      <c r="H8" s="14" t="s">
        <v>826</v>
      </c>
    </row>
    <row r="9" customFormat="false" ht="15" hidden="false" customHeight="false" outlineLevel="0" collapsed="false">
      <c r="A9" s="6" t="str">
        <f aca="false">Firma_Ozeti!A49</f>
        <v>F-1048</v>
      </c>
      <c r="B9" s="6" t="str">
        <f aca="false">Firma_Ozeti!B49</f>
        <v>Firma 1048 San. Tic. Ltd. Şti.</v>
      </c>
      <c r="C9" s="6" t="str">
        <f aca="false">Firma_Ozeti!C49</f>
        <v>Manisa</v>
      </c>
      <c r="D9" s="6" t="n">
        <f aca="false">Firma_Ozeti!D49</f>
        <v>8</v>
      </c>
      <c r="E9" s="9" t="n">
        <f aca="false">Firma_Ozeti!E49</f>
        <v>6468.5</v>
      </c>
      <c r="F9" s="7" t="n">
        <f aca="false">Firma_Ozeti!G49</f>
        <v>29.6002179794388</v>
      </c>
      <c r="G9" s="9" t="n">
        <f aca="false">Firma_Ozeti!H49</f>
        <v>191469.01</v>
      </c>
      <c r="H9" s="14" t="s">
        <v>826</v>
      </c>
    </row>
    <row r="10" customFormat="false" ht="15" hidden="false" customHeight="false" outlineLevel="0" collapsed="false">
      <c r="A10" s="6" t="str">
        <f aca="false">Firma_Ozeti!A28</f>
        <v>F-1027</v>
      </c>
      <c r="B10" s="6" t="str">
        <f aca="false">Firma_Ozeti!B28</f>
        <v>Firma 1027 San. Tic. Ltd. Şti.</v>
      </c>
      <c r="C10" s="6" t="str">
        <f aca="false">Firma_Ozeti!C28</f>
        <v>Manisa</v>
      </c>
      <c r="D10" s="6" t="n">
        <f aca="false">Firma_Ozeti!D28</f>
        <v>8</v>
      </c>
      <c r="E10" s="9" t="n">
        <f aca="false">Firma_Ozeti!E28</f>
        <v>5985.5</v>
      </c>
      <c r="F10" s="7" t="n">
        <f aca="false">Firma_Ozeti!G28</f>
        <v>22.4927758750313</v>
      </c>
      <c r="G10" s="9" t="n">
        <f aca="false">Firma_Ozeti!H28</f>
        <v>134630.51</v>
      </c>
      <c r="H10" s="14" t="s">
        <v>826</v>
      </c>
    </row>
    <row r="11" customFormat="false" ht="15" hidden="false" customHeight="false" outlineLevel="0" collapsed="false">
      <c r="A11" s="6" t="str">
        <f aca="false">Firma_Ozeti!A37</f>
        <v>F-1036</v>
      </c>
      <c r="B11" s="6" t="str">
        <f aca="false">Firma_Ozeti!B37</f>
        <v>Firma 1036 San. Tic. Ltd. Şti.</v>
      </c>
      <c r="C11" s="6" t="str">
        <f aca="false">Firma_Ozeti!C37</f>
        <v>İstanbul</v>
      </c>
      <c r="D11" s="6" t="n">
        <f aca="false">Firma_Ozeti!D37</f>
        <v>9</v>
      </c>
      <c r="E11" s="9" t="n">
        <f aca="false">Firma_Ozeti!E37</f>
        <v>5850.2</v>
      </c>
      <c r="F11" s="7" t="n">
        <f aca="false">Firma_Ozeti!G37</f>
        <v>22.4497162490171</v>
      </c>
      <c r="G11" s="9" t="n">
        <f aca="false">Firma_Ozeti!H37</f>
        <v>131335.33</v>
      </c>
      <c r="H11" s="14" t="s">
        <v>826</v>
      </c>
    </row>
    <row r="12" customFormat="false" ht="15" hidden="false" customHeight="false" outlineLevel="0" collapsed="false">
      <c r="A12" s="6" t="str">
        <f aca="false">Firma_Ozeti!A14</f>
        <v>F-1013</v>
      </c>
      <c r="B12" s="6" t="str">
        <f aca="false">Firma_Ozeti!B14</f>
        <v>Firma 1013 San. Tic. Ltd. Şti.</v>
      </c>
      <c r="C12" s="6" t="str">
        <f aca="false">Firma_Ozeti!C14</f>
        <v>Sakarya</v>
      </c>
      <c r="D12" s="6" t="n">
        <f aca="false">Firma_Ozeti!D14</f>
        <v>10</v>
      </c>
      <c r="E12" s="9" t="n">
        <f aca="false">Firma_Ozeti!E14</f>
        <v>5656.8</v>
      </c>
      <c r="F12" s="7" t="n">
        <f aca="false">Firma_Ozeti!G14</f>
        <v>21.4835949653514</v>
      </c>
      <c r="G12" s="9" t="n">
        <f aca="false">Firma_Ozeti!H14</f>
        <v>121528.4</v>
      </c>
      <c r="H12" s="14" t="s">
        <v>826</v>
      </c>
    </row>
    <row r="13" customFormat="false" ht="15" hidden="false" customHeight="false" outlineLevel="0" collapsed="false">
      <c r="A13" s="6" t="str">
        <f aca="false">Firma_Ozeti!A13</f>
        <v>F-1012</v>
      </c>
      <c r="B13" s="6" t="str">
        <f aca="false">Firma_Ozeti!B13</f>
        <v>Firma 1012 San. Tic. Ltd. Şti.</v>
      </c>
      <c r="C13" s="6" t="str">
        <f aca="false">Firma_Ozeti!C13</f>
        <v>Manisa</v>
      </c>
      <c r="D13" s="6" t="n">
        <f aca="false">Firma_Ozeti!D13</f>
        <v>9</v>
      </c>
      <c r="E13" s="9" t="n">
        <f aca="false">Firma_Ozeti!E13</f>
        <v>5234.1</v>
      </c>
      <c r="F13" s="7" t="n">
        <f aca="false">Firma_Ozeti!G13</f>
        <v>26.9390955465123</v>
      </c>
      <c r="G13" s="9" t="n">
        <f aca="false">Firma_Ozeti!H13</f>
        <v>141001.92</v>
      </c>
      <c r="H13" s="14" t="s">
        <v>826</v>
      </c>
    </row>
    <row r="14" customFormat="false" ht="15" hidden="false" customHeight="false" outlineLevel="0" collapsed="false">
      <c r="A14" s="6" t="str">
        <f aca="false">Firma_Ozeti!A7</f>
        <v>F-1006</v>
      </c>
      <c r="B14" s="6" t="str">
        <f aca="false">Firma_Ozeti!B7</f>
        <v>Firma 1006 San. Tic. Ltd. Şti.</v>
      </c>
      <c r="C14" s="6" t="str">
        <f aca="false">Firma_Ozeti!C7</f>
        <v>Adana</v>
      </c>
      <c r="D14" s="6" t="n">
        <f aca="false">Firma_Ozeti!D7</f>
        <v>2</v>
      </c>
      <c r="E14" s="9" t="n">
        <f aca="false">Firma_Ozeti!E7</f>
        <v>5012.5</v>
      </c>
      <c r="F14" s="7" t="n">
        <f aca="false">Firma_Ozeti!G7</f>
        <v>22.6352179551122</v>
      </c>
      <c r="G14" s="9" t="n">
        <f aca="false">Firma_Ozeti!H7</f>
        <v>113459.03</v>
      </c>
      <c r="H14" s="14" t="s">
        <v>826</v>
      </c>
    </row>
    <row r="15" customFormat="false" ht="15" hidden="false" customHeight="false" outlineLevel="0" collapsed="false">
      <c r="A15" s="6" t="str">
        <f aca="false">Firma_Ozeti!A30</f>
        <v>F-1029</v>
      </c>
      <c r="B15" s="6" t="str">
        <f aca="false">Firma_Ozeti!B30</f>
        <v>Firma 1029 San. Tic. Ltd. Şti.</v>
      </c>
      <c r="C15" s="6" t="str">
        <f aca="false">Firma_Ozeti!C30</f>
        <v>Sakarya</v>
      </c>
      <c r="D15" s="6" t="n">
        <f aca="false">Firma_Ozeti!D30</f>
        <v>4</v>
      </c>
      <c r="E15" s="9" t="n">
        <f aca="false">Firma_Ozeti!E30</f>
        <v>4864</v>
      </c>
      <c r="F15" s="7" t="n">
        <f aca="false">Firma_Ozeti!G30</f>
        <v>26.6302693256579</v>
      </c>
      <c r="G15" s="9" t="n">
        <f aca="false">Firma_Ozeti!H30</f>
        <v>129529.63</v>
      </c>
      <c r="H15" s="14" t="s">
        <v>826</v>
      </c>
    </row>
    <row r="16" customFormat="false" ht="15" hidden="false" customHeight="false" outlineLevel="0" collapsed="false">
      <c r="A16" s="6" t="str">
        <f aca="false">Firma_Ozeti!A40</f>
        <v>F-1039</v>
      </c>
      <c r="B16" s="6" t="str">
        <f aca="false">Firma_Ozeti!B40</f>
        <v>Firma 1039 San. Tic. Ltd. Şti.</v>
      </c>
      <c r="C16" s="6" t="str">
        <f aca="false">Firma_Ozeti!C40</f>
        <v>Gaziantep</v>
      </c>
      <c r="D16" s="6" t="n">
        <f aca="false">Firma_Ozeti!D40</f>
        <v>3</v>
      </c>
      <c r="E16" s="9" t="n">
        <f aca="false">Firma_Ozeti!E40</f>
        <v>3942.4</v>
      </c>
      <c r="F16" s="7" t="n">
        <f aca="false">Firma_Ozeti!G40</f>
        <v>22.8198711444805</v>
      </c>
      <c r="G16" s="9" t="n">
        <f aca="false">Firma_Ozeti!H40</f>
        <v>89965.06</v>
      </c>
      <c r="H16" s="14" t="s">
        <v>826</v>
      </c>
    </row>
    <row r="17" customFormat="false" ht="15" hidden="false" customHeight="false" outlineLevel="0" collapsed="false">
      <c r="A17" s="6" t="str">
        <f aca="false">Firma_Ozeti!A8</f>
        <v>F-1007</v>
      </c>
      <c r="B17" s="6" t="str">
        <f aca="false">Firma_Ozeti!B8</f>
        <v>Firma 1007 San. Tic. Ltd. Şti.</v>
      </c>
      <c r="C17" s="6" t="str">
        <f aca="false">Firma_Ozeti!C8</f>
        <v>Gaziantep</v>
      </c>
      <c r="D17" s="6" t="n">
        <f aca="false">Firma_Ozeti!D8</f>
        <v>4</v>
      </c>
      <c r="E17" s="9" t="n">
        <f aca="false">Firma_Ozeti!E8</f>
        <v>3711</v>
      </c>
      <c r="F17" s="7" t="n">
        <f aca="false">Firma_Ozeti!G8</f>
        <v>21.9178738884398</v>
      </c>
      <c r="G17" s="9" t="n">
        <f aca="false">Firma_Ozeti!H8</f>
        <v>81337.23</v>
      </c>
      <c r="H17" s="14" t="s">
        <v>826</v>
      </c>
    </row>
    <row r="18" customFormat="false" ht="15" hidden="false" customHeight="false" outlineLevel="0" collapsed="false">
      <c r="A18" s="6" t="str">
        <f aca="false">Firma_Ozeti!A55</f>
        <v>F-1054</v>
      </c>
      <c r="B18" s="6" t="str">
        <f aca="false">Firma_Ozeti!B55</f>
        <v>Firma 1054 San. Tic. Ltd. Şti.</v>
      </c>
      <c r="C18" s="6" t="str">
        <f aca="false">Firma_Ozeti!C55</f>
        <v>Konya</v>
      </c>
      <c r="D18" s="6" t="n">
        <f aca="false">Firma_Ozeti!D55</f>
        <v>4</v>
      </c>
      <c r="E18" s="9" t="n">
        <f aca="false">Firma_Ozeti!E55</f>
        <v>3590.1</v>
      </c>
      <c r="F18" s="7" t="n">
        <f aca="false">Firma_Ozeti!G55</f>
        <v>27.7209074956129</v>
      </c>
      <c r="G18" s="9" t="n">
        <f aca="false">Firma_Ozeti!H55</f>
        <v>99520.83</v>
      </c>
      <c r="H18" s="14" t="s">
        <v>826</v>
      </c>
    </row>
    <row r="19" customFormat="false" ht="15" hidden="false" customHeight="false" outlineLevel="0" collapsed="false">
      <c r="A19" s="6" t="str">
        <f aca="false">Firma_Ozeti!A56</f>
        <v>F-1055</v>
      </c>
      <c r="B19" s="6" t="str">
        <f aca="false">Firma_Ozeti!B56</f>
        <v>Firma 1055 San. Tic. Ltd. Şti.</v>
      </c>
      <c r="C19" s="6" t="str">
        <f aca="false">Firma_Ozeti!C56</f>
        <v>İstanbul</v>
      </c>
      <c r="D19" s="6" t="n">
        <f aca="false">Firma_Ozeti!D56</f>
        <v>2</v>
      </c>
      <c r="E19" s="9" t="n">
        <f aca="false">Firma_Ozeti!E56</f>
        <v>3575</v>
      </c>
      <c r="F19" s="7" t="n">
        <f aca="false">Firma_Ozeti!G56</f>
        <v>21.9567468531469</v>
      </c>
      <c r="G19" s="9" t="n">
        <f aca="false">Firma_Ozeti!H56</f>
        <v>78495.37</v>
      </c>
      <c r="H19" s="14" t="s">
        <v>826</v>
      </c>
    </row>
    <row r="20" customFormat="false" ht="15" hidden="false" customHeight="false" outlineLevel="0" collapsed="false">
      <c r="A20" s="6" t="str">
        <f aca="false">Firma_Ozeti!A38</f>
        <v>F-1037</v>
      </c>
      <c r="B20" s="6" t="str">
        <f aca="false">Firma_Ozeti!B38</f>
        <v>Firma 1037 San. Tic. Ltd. Şti.</v>
      </c>
      <c r="C20" s="6" t="str">
        <f aca="false">Firma_Ozeti!C38</f>
        <v>Gaziantep</v>
      </c>
      <c r="D20" s="6" t="n">
        <f aca="false">Firma_Ozeti!D38</f>
        <v>4</v>
      </c>
      <c r="E20" s="9" t="n">
        <f aca="false">Firma_Ozeti!E38</f>
        <v>3419.6</v>
      </c>
      <c r="F20" s="7" t="n">
        <f aca="false">Firma_Ozeti!G38</f>
        <v>29.2305737513159</v>
      </c>
      <c r="G20" s="9" t="n">
        <f aca="false">Firma_Ozeti!H38</f>
        <v>99956.87</v>
      </c>
      <c r="H20" s="14" t="s">
        <v>826</v>
      </c>
    </row>
    <row r="21" customFormat="false" ht="15" hidden="false" customHeight="false" outlineLevel="0" collapsed="false">
      <c r="A21" s="6" t="str">
        <f aca="false">Firma_Ozeti!A20</f>
        <v>F-1019</v>
      </c>
      <c r="B21" s="6" t="str">
        <f aca="false">Firma_Ozeti!B20</f>
        <v>Firma 1019 San. Tic. Ltd. Şti.</v>
      </c>
      <c r="C21" s="6" t="str">
        <f aca="false">Firma_Ozeti!C20</f>
        <v>Konya</v>
      </c>
      <c r="D21" s="6" t="n">
        <f aca="false">Firma_Ozeti!D20</f>
        <v>4</v>
      </c>
      <c r="E21" s="9" t="n">
        <f aca="false">Firma_Ozeti!E20</f>
        <v>3133.9</v>
      </c>
      <c r="F21" s="7" t="n">
        <f aca="false">Firma_Ozeti!G20</f>
        <v>22.1123998851272</v>
      </c>
      <c r="G21" s="9" t="n">
        <f aca="false">Firma_Ozeti!H20</f>
        <v>69298.05</v>
      </c>
      <c r="H21" s="14" t="s">
        <v>826</v>
      </c>
    </row>
    <row r="22" customFormat="false" ht="15" hidden="false" customHeight="false" outlineLevel="0" collapsed="false">
      <c r="A22" s="6" t="str">
        <f aca="false">Firma_Ozeti!A21</f>
        <v>F-1020</v>
      </c>
      <c r="B22" s="6" t="str">
        <f aca="false">Firma_Ozeti!B21</f>
        <v>Firma 1020 San. Tic. Ltd. Şti.</v>
      </c>
      <c r="C22" s="6" t="str">
        <f aca="false">Firma_Ozeti!C21</f>
        <v>İstanbul</v>
      </c>
      <c r="D22" s="6" t="n">
        <f aca="false">Firma_Ozeti!D21</f>
        <v>1</v>
      </c>
      <c r="E22" s="9" t="n">
        <f aca="false">Firma_Ozeti!E21</f>
        <v>3000</v>
      </c>
      <c r="F22" s="7" t="n">
        <f aca="false">Firma_Ozeti!G21</f>
        <v>10.11</v>
      </c>
      <c r="G22" s="9" t="n">
        <f aca="false">Firma_Ozeti!H21</f>
        <v>30330</v>
      </c>
      <c r="H22" s="14" t="s">
        <v>826</v>
      </c>
    </row>
    <row r="23" customFormat="false" ht="15" hidden="false" customHeight="false" outlineLevel="0" collapsed="false">
      <c r="A23" s="6" t="str">
        <f aca="false">Firma_Ozeti!A46</f>
        <v>F-1045</v>
      </c>
      <c r="B23" s="6" t="str">
        <f aca="false">Firma_Ozeti!B46</f>
        <v>Firma 1045 San. Tic. Ltd. Şti.</v>
      </c>
      <c r="C23" s="6" t="str">
        <f aca="false">Firma_Ozeti!C46</f>
        <v>İstanbul</v>
      </c>
      <c r="D23" s="6" t="n">
        <f aca="false">Firma_Ozeti!D46</f>
        <v>3</v>
      </c>
      <c r="E23" s="9" t="n">
        <f aca="false">Firma_Ozeti!E46</f>
        <v>3000</v>
      </c>
      <c r="F23" s="7" t="n">
        <f aca="false">Firma_Ozeti!G46</f>
        <v>26.81857</v>
      </c>
      <c r="G23" s="9" t="n">
        <f aca="false">Firma_Ozeti!H46</f>
        <v>80455.71</v>
      </c>
      <c r="H23" s="14" t="s">
        <v>826</v>
      </c>
    </row>
    <row r="24" customFormat="false" ht="15" hidden="false" customHeight="false" outlineLevel="0" collapsed="false">
      <c r="A24" s="6" t="str">
        <f aca="false">Firma_Ozeti!A22</f>
        <v>F-1021</v>
      </c>
      <c r="B24" s="6" t="str">
        <f aca="false">Firma_Ozeti!B22</f>
        <v>Firma 1021 San. Tic. Ltd. Şti.</v>
      </c>
      <c r="C24" s="6" t="str">
        <f aca="false">Firma_Ozeti!C22</f>
        <v>İzmir</v>
      </c>
      <c r="D24" s="6" t="n">
        <f aca="false">Firma_Ozeti!D22</f>
        <v>3</v>
      </c>
      <c r="E24" s="9" t="n">
        <f aca="false">Firma_Ozeti!E22</f>
        <v>2760.3</v>
      </c>
      <c r="F24" s="7" t="n">
        <f aca="false">Firma_Ozeti!G22</f>
        <v>23.935782342499</v>
      </c>
      <c r="G24" s="9" t="n">
        <f aca="false">Firma_Ozeti!H22</f>
        <v>66069.94</v>
      </c>
      <c r="H24" s="14" t="s">
        <v>826</v>
      </c>
    </row>
    <row r="25" customFormat="false" ht="15" hidden="false" customHeight="false" outlineLevel="0" collapsed="false">
      <c r="A25" s="6" t="str">
        <f aca="false">Firma_Ozeti!A35</f>
        <v>F-1034</v>
      </c>
      <c r="B25" s="6" t="str">
        <f aca="false">Firma_Ozeti!B35</f>
        <v>Firma 1034 San. Tic. Ltd. Şti.</v>
      </c>
      <c r="C25" s="6" t="str">
        <f aca="false">Firma_Ozeti!C35</f>
        <v>Eskişehir</v>
      </c>
      <c r="D25" s="6" t="n">
        <f aca="false">Firma_Ozeti!D35</f>
        <v>3</v>
      </c>
      <c r="E25" s="9" t="n">
        <f aca="false">Firma_Ozeti!E35</f>
        <v>2700.7</v>
      </c>
      <c r="F25" s="7" t="n">
        <f aca="false">Firma_Ozeti!G35</f>
        <v>18.2261117488059</v>
      </c>
      <c r="G25" s="9" t="n">
        <f aca="false">Firma_Ozeti!H35</f>
        <v>49223.26</v>
      </c>
      <c r="H25" s="14" t="s">
        <v>826</v>
      </c>
    </row>
    <row r="26" customFormat="false" ht="15" hidden="false" customHeight="false" outlineLevel="0" collapsed="false">
      <c r="A26" s="6" t="str">
        <f aca="false">Firma_Ozeti!A10</f>
        <v>F-1009</v>
      </c>
      <c r="B26" s="6" t="str">
        <f aca="false">Firma_Ozeti!B10</f>
        <v>Firma 1009 San. Tic. Ltd. Şti.</v>
      </c>
      <c r="C26" s="6" t="str">
        <f aca="false">Firma_Ozeti!C10</f>
        <v>Bursa</v>
      </c>
      <c r="D26" s="6" t="n">
        <f aca="false">Firma_Ozeti!D10</f>
        <v>4</v>
      </c>
      <c r="E26" s="9" t="n">
        <f aca="false">Firma_Ozeti!E10</f>
        <v>2564.6</v>
      </c>
      <c r="F26" s="7" t="n">
        <f aca="false">Firma_Ozeti!G10</f>
        <v>18.800834438119</v>
      </c>
      <c r="G26" s="9" t="n">
        <f aca="false">Firma_Ozeti!H10</f>
        <v>48216.62</v>
      </c>
      <c r="H26" s="14" t="s">
        <v>826</v>
      </c>
    </row>
    <row r="27" customFormat="false" ht="15" hidden="false" customHeight="false" outlineLevel="0" collapsed="false">
      <c r="A27" s="6" t="str">
        <f aca="false">Firma_Ozeti!A58</f>
        <v>F-1057</v>
      </c>
      <c r="B27" s="6" t="str">
        <f aca="false">Firma_Ozeti!B58</f>
        <v>Firma 1057 San. Tic. Ltd. Şti.</v>
      </c>
      <c r="C27" s="6" t="str">
        <f aca="false">Firma_Ozeti!C58</f>
        <v>İzmir</v>
      </c>
      <c r="D27" s="6" t="n">
        <f aca="false">Firma_Ozeti!D58</f>
        <v>5</v>
      </c>
      <c r="E27" s="9" t="n">
        <f aca="false">Firma_Ozeti!E58</f>
        <v>2520</v>
      </c>
      <c r="F27" s="7" t="n">
        <f aca="false">Firma_Ozeti!G58</f>
        <v>19.5113571428571</v>
      </c>
      <c r="G27" s="9" t="n">
        <f aca="false">Firma_Ozeti!H58</f>
        <v>49168.62</v>
      </c>
      <c r="H27" s="14" t="s">
        <v>826</v>
      </c>
    </row>
    <row r="28" customFormat="false" ht="15" hidden="false" customHeight="false" outlineLevel="0" collapsed="false">
      <c r="A28" s="6" t="str">
        <f aca="false">Firma_Ozeti!A17</f>
        <v>F-1016</v>
      </c>
      <c r="B28" s="6" t="str">
        <f aca="false">Firma_Ozeti!B17</f>
        <v>Firma 1016 San. Tic. Ltd. Şti.</v>
      </c>
      <c r="C28" s="6" t="str">
        <f aca="false">Firma_Ozeti!C17</f>
        <v>İzmir</v>
      </c>
      <c r="D28" s="6" t="n">
        <f aca="false">Firma_Ozeti!D17</f>
        <v>1</v>
      </c>
      <c r="E28" s="9" t="n">
        <f aca="false">Firma_Ozeti!E17</f>
        <v>2161.9</v>
      </c>
      <c r="F28" s="7" t="n">
        <f aca="false">Firma_Ozeti!G17</f>
        <v>24.6694342939081</v>
      </c>
      <c r="G28" s="9" t="n">
        <f aca="false">Firma_Ozeti!H17</f>
        <v>53332.85</v>
      </c>
      <c r="H28" s="14" t="s">
        <v>826</v>
      </c>
    </row>
    <row r="29" customFormat="false" ht="15" hidden="false" customHeight="false" outlineLevel="0" collapsed="false">
      <c r="A29" s="6" t="str">
        <f aca="false">Firma_Ozeti!A2</f>
        <v>F-1001</v>
      </c>
      <c r="B29" s="6" t="str">
        <f aca="false">Firma_Ozeti!B2</f>
        <v>Firma 1001 San. Tic. Ltd. Şti.</v>
      </c>
      <c r="C29" s="6" t="str">
        <f aca="false">Firma_Ozeti!C2</f>
        <v>Gaziantep</v>
      </c>
      <c r="D29" s="6" t="n">
        <f aca="false">Firma_Ozeti!D2</f>
        <v>2</v>
      </c>
      <c r="E29" s="9" t="n">
        <f aca="false">Firma_Ozeti!E2</f>
        <v>2032.5</v>
      </c>
      <c r="F29" s="7" t="n">
        <f aca="false">Firma_Ozeti!G2</f>
        <v>16.2600885608856</v>
      </c>
      <c r="G29" s="9" t="n">
        <f aca="false">Firma_Ozeti!H2</f>
        <v>33048.63</v>
      </c>
      <c r="H29" s="14" t="s">
        <v>826</v>
      </c>
    </row>
    <row r="30" customFormat="false" ht="15" hidden="false" customHeight="false" outlineLevel="0" collapsed="false">
      <c r="A30" s="6" t="str">
        <f aca="false">Firma_Ozeti!A5</f>
        <v>F-1004</v>
      </c>
      <c r="B30" s="6" t="str">
        <f aca="false">Firma_Ozeti!B5</f>
        <v>Firma 1004 San. Tic. Ltd. Şti.</v>
      </c>
      <c r="C30" s="6" t="str">
        <f aca="false">Firma_Ozeti!C5</f>
        <v>İstanbul</v>
      </c>
      <c r="D30" s="6" t="n">
        <f aca="false">Firma_Ozeti!D5</f>
        <v>1</v>
      </c>
      <c r="E30" s="9" t="n">
        <f aca="false">Firma_Ozeti!E5</f>
        <v>1659.6</v>
      </c>
      <c r="F30" s="7" t="n">
        <f aca="false">Firma_Ozeti!G5</f>
        <v>34.7293383947939</v>
      </c>
      <c r="G30" s="9" t="n">
        <f aca="false">Firma_Ozeti!H5</f>
        <v>57636.81</v>
      </c>
      <c r="H30" s="14" t="s">
        <v>826</v>
      </c>
    </row>
    <row r="31" customFormat="false" ht="15" hidden="false" customHeight="false" outlineLevel="0" collapsed="false">
      <c r="A31" s="6" t="str">
        <f aca="false">Firma_Ozeti!A26</f>
        <v>F-1025</v>
      </c>
      <c r="B31" s="6" t="str">
        <f aca="false">Firma_Ozeti!B26</f>
        <v>Firma 1025 San. Tic. Ltd. Şti.</v>
      </c>
      <c r="C31" s="6" t="str">
        <f aca="false">Firma_Ozeti!C26</f>
        <v>Eskişehir</v>
      </c>
      <c r="D31" s="6" t="n">
        <f aca="false">Firma_Ozeti!D26</f>
        <v>2</v>
      </c>
      <c r="E31" s="9" t="n">
        <f aca="false">Firma_Ozeti!E26</f>
        <v>1616.4</v>
      </c>
      <c r="F31" s="7" t="n">
        <f aca="false">Firma_Ozeti!G26</f>
        <v>24.5199826775551</v>
      </c>
      <c r="G31" s="9" t="n">
        <f aca="false">Firma_Ozeti!H26</f>
        <v>39634.1</v>
      </c>
      <c r="H31" s="14" t="s">
        <v>826</v>
      </c>
    </row>
    <row r="32" customFormat="false" ht="15" hidden="false" customHeight="false" outlineLevel="0" collapsed="false">
      <c r="A32" s="6" t="str">
        <f aca="false">Firma_Ozeti!A44</f>
        <v>F-1043</v>
      </c>
      <c r="B32" s="6" t="str">
        <f aca="false">Firma_Ozeti!B44</f>
        <v>Firma 1043 San. Tic. Ltd. Şti.</v>
      </c>
      <c r="C32" s="6" t="str">
        <f aca="false">Firma_Ozeti!C44</f>
        <v>Adana</v>
      </c>
      <c r="D32" s="6" t="n">
        <f aca="false">Firma_Ozeti!D44</f>
        <v>1</v>
      </c>
      <c r="E32" s="9" t="n">
        <f aca="false">Firma_Ozeti!E44</f>
        <v>1472.8</v>
      </c>
      <c r="F32" s="7" t="n">
        <f aca="false">Firma_Ozeti!G44</f>
        <v>19.3300787615426</v>
      </c>
      <c r="G32" s="9" t="n">
        <f aca="false">Firma_Ozeti!H44</f>
        <v>28469.34</v>
      </c>
      <c r="H32" s="14" t="s">
        <v>826</v>
      </c>
    </row>
    <row r="33" customFormat="false" ht="15" hidden="false" customHeight="false" outlineLevel="0" collapsed="false">
      <c r="A33" s="6" t="str">
        <f aca="false">Firma_Ozeti!A11</f>
        <v>F-1010</v>
      </c>
      <c r="B33" s="6" t="str">
        <f aca="false">Firma_Ozeti!B11</f>
        <v>Firma 1010 San. Tic. Ltd. Şti.</v>
      </c>
      <c r="C33" s="6" t="str">
        <f aca="false">Firma_Ozeti!C11</f>
        <v>İstanbul</v>
      </c>
      <c r="D33" s="6" t="n">
        <f aca="false">Firma_Ozeti!D11</f>
        <v>1</v>
      </c>
      <c r="E33" s="9" t="n">
        <f aca="false">Firma_Ozeti!E11</f>
        <v>1455.7</v>
      </c>
      <c r="F33" s="7" t="n">
        <f aca="false">Firma_Ozeti!G11</f>
        <v>9.04021432987566</v>
      </c>
      <c r="G33" s="9" t="n">
        <f aca="false">Firma_Ozeti!H11</f>
        <v>13159.84</v>
      </c>
      <c r="H33" s="14" t="s">
        <v>826</v>
      </c>
    </row>
    <row r="36" customFormat="false" ht="15" hidden="false" customHeight="false" outlineLevel="0" collapsed="false">
      <c r="A36" s="13" t="s">
        <v>827</v>
      </c>
      <c r="B36" s="13"/>
      <c r="C36" s="13"/>
      <c r="D36" s="13"/>
      <c r="E36" s="13"/>
      <c r="F36" s="13"/>
      <c r="G36" s="13"/>
      <c r="H36" s="13"/>
    </row>
    <row r="37" customFormat="false" ht="15" hidden="false" customHeight="false" outlineLevel="0" collapsed="false">
      <c r="A37" s="3" t="s">
        <v>828</v>
      </c>
      <c r="B37" s="15" t="n">
        <f aca="false">COUNTA(A4:A33)</f>
        <v>30</v>
      </c>
    </row>
    <row r="38" customFormat="false" ht="15" hidden="false" customHeight="false" outlineLevel="0" collapsed="false">
      <c r="A38" s="3" t="s">
        <v>829</v>
      </c>
      <c r="B38" s="15" t="n">
        <f aca="false">SUM(E4:E33)</f>
        <v>126213</v>
      </c>
    </row>
    <row r="39" customFormat="false" ht="15" hidden="false" customHeight="false" outlineLevel="0" collapsed="false">
      <c r="A39" s="3" t="s">
        <v>830</v>
      </c>
      <c r="B39" s="16" t="n">
        <f aca="false">SUM(E4:E33)/1000</f>
        <v>126.213</v>
      </c>
    </row>
    <row r="40" customFormat="false" ht="15" hidden="false" customHeight="false" outlineLevel="0" collapsed="false">
      <c r="A40" s="3" t="s">
        <v>814</v>
      </c>
      <c r="B40" s="15" t="n">
        <f aca="false">SUM(G4:G33)</f>
        <v>3107474.62</v>
      </c>
    </row>
    <row r="41" customFormat="false" ht="15" hidden="false" customHeight="false" outlineLevel="0" collapsed="false">
      <c r="A41" s="3" t="s">
        <v>813</v>
      </c>
      <c r="B41" s="17" t="n">
        <f aca="false">AVERAGE(F4:F33)</f>
        <v>23.4135515947295</v>
      </c>
    </row>
    <row r="43" customFormat="false" ht="15" hidden="false" customHeight="false" outlineLevel="0" collapsed="false">
      <c r="A43" s="4" t="s">
        <v>831</v>
      </c>
    </row>
    <row r="44" customFormat="false" ht="15" hidden="false" customHeight="true" outlineLevel="0" collapsed="false">
      <c r="A44" s="12" t="s">
        <v>832</v>
      </c>
      <c r="B44" s="12"/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</row>
    <row r="47" customFormat="false" ht="15" hidden="false" customHeight="false" outlineLevel="0" collapsed="false">
      <c r="A47" s="3" t="s">
        <v>833</v>
      </c>
      <c r="B47" s="18" t="n">
        <v>1.4</v>
      </c>
    </row>
    <row r="48" customFormat="false" ht="15" hidden="false" customHeight="false" outlineLevel="0" collapsed="false">
      <c r="A48" s="3" t="s">
        <v>834</v>
      </c>
      <c r="B48" s="18" t="n">
        <v>1.6</v>
      </c>
    </row>
    <row r="50" customFormat="false" ht="15" hidden="false" customHeight="false" outlineLevel="0" collapsed="false">
      <c r="A50" s="3" t="s">
        <v>835</v>
      </c>
      <c r="B50" s="19" t="n">
        <f aca="false">B39*B47</f>
        <v>176.6982</v>
      </c>
    </row>
    <row r="51" customFormat="false" ht="15" hidden="false" customHeight="false" outlineLevel="0" collapsed="false">
      <c r="A51" s="3" t="s">
        <v>836</v>
      </c>
      <c r="B51" s="19" t="n">
        <f aca="false">B39*B48</f>
        <v>201.9408</v>
      </c>
    </row>
    <row r="53" customFormat="false" ht="15" hidden="false" customHeight="true" outlineLevel="0" collapsed="false">
      <c r="A53" s="12" t="s">
        <v>837</v>
      </c>
      <c r="B53" s="12"/>
      <c r="C53" s="12"/>
      <c r="D53" s="12"/>
      <c r="E53" s="12"/>
      <c r="F53" s="12"/>
      <c r="G53" s="12"/>
      <c r="H53" s="12"/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</row>
  </sheetData>
  <mergeCells count="4">
    <mergeCell ref="A1:H1"/>
    <mergeCell ref="A36:H36"/>
    <mergeCell ref="A44:H45"/>
    <mergeCell ref="A53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2026-09-03T16:41:25Z</dcterms:created>
  <dc:creator>openpyxl</dc:creator>
  <dc:description/>
  <dc:language>en-US</dc:language>
  <cp:lastModifiedBy/>
  <dcterms:modified xsi:type="dcterms:W3CDTF">2026-09-03T16:41:25Z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